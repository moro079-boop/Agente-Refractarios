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DRIGOADÁNMOLINAMAR\Desktop\Modelo 1D Térmico Transitorio\Generados\"/>
    </mc:Choice>
  </mc:AlternateContent>
  <xr:revisionPtr revIDLastSave="0" documentId="13_ncr:1_{37AE387B-C8A0-4433-9C31-5381F5FA71D5}" xr6:coauthVersionLast="47" xr6:coauthVersionMax="47" xr10:uidLastSave="{00000000-0000-0000-0000-000000000000}"/>
  <bookViews>
    <workbookView xWindow="-110" yWindow="-110" windowWidth="19420" windowHeight="10300" tabRatio="500" firstSheet="4" activeTab="5" xr2:uid="{1FB6E45C-C9B8-43B1-B2CD-DD3A6065C562}"/>
  </bookViews>
  <sheets>
    <sheet name="Constituyentes" sheetId="2" r:id="rId1"/>
    <sheet name="CQ's" sheetId="3" r:id="rId2"/>
    <sheet name="Cp - Constituyentes" sheetId="4" r:id="rId3"/>
    <sheet name="Propiedades - Capa" sheetId="6" r:id="rId4"/>
    <sheet name="Cp - Capas" sheetId="5" r:id="rId5"/>
    <sheet name="Estacionario" sheetId="7" r:id="rId6"/>
    <sheet name="07_Enfriamiento" sheetId="8" r:id="rId7"/>
    <sheet name="08_Fuentes" sheetId="9" r:id="rId8"/>
    <sheet name="09_Sensibilidad_aislante" sheetId="10" r:id="rId9"/>
  </sheets>
  <externalReferences>
    <externalReference r:id="rId10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7" l="1"/>
  <c r="D36" i="7"/>
  <c r="D35" i="7"/>
  <c r="D34" i="7"/>
  <c r="D33" i="7"/>
  <c r="C20" i="7"/>
  <c r="C44" i="7"/>
  <c r="C19" i="7"/>
  <c r="C18" i="7"/>
  <c r="C17" i="7"/>
  <c r="F16" i="7"/>
  <c r="H15" i="7"/>
  <c r="B20" i="7"/>
  <c r="B37" i="7" s="1"/>
  <c r="B19" i="7"/>
  <c r="B36" i="7"/>
  <c r="B18" i="7"/>
  <c r="B35" i="7"/>
  <c r="B17" i="7"/>
  <c r="C22" i="6"/>
  <c r="B22" i="6"/>
  <c r="C21" i="6"/>
  <c r="B21" i="6"/>
  <c r="C20" i="6"/>
  <c r="B20" i="6"/>
  <c r="C19" i="6"/>
  <c r="B19" i="6"/>
  <c r="C18" i="6"/>
  <c r="B18" i="6"/>
  <c r="D14" i="6"/>
  <c r="N13" i="6"/>
  <c r="L13" i="6"/>
  <c r="O13" i="6" s="1"/>
  <c r="J13" i="6"/>
  <c r="M13" i="6" s="1"/>
  <c r="N11" i="6"/>
  <c r="K11" i="6"/>
  <c r="L11" i="6" s="1"/>
  <c r="J11" i="6"/>
  <c r="F19" i="7" s="1"/>
  <c r="N9" i="6"/>
  <c r="K9" i="6"/>
  <c r="L9" i="6" s="1"/>
  <c r="J9" i="6"/>
  <c r="F18" i="7" s="1"/>
  <c r="N7" i="6"/>
  <c r="K7" i="6"/>
  <c r="L7" i="6"/>
  <c r="O7" i="6" s="1"/>
  <c r="J7" i="6"/>
  <c r="F17" i="7" s="1"/>
  <c r="N5" i="6"/>
  <c r="K5" i="6"/>
  <c r="L5" i="6"/>
  <c r="G29" i="5"/>
  <c r="C27" i="8"/>
  <c r="C26" i="8"/>
  <c r="C25" i="8"/>
  <c r="C24" i="8"/>
  <c r="C23" i="8"/>
  <c r="C22" i="8"/>
  <c r="C21" i="8"/>
  <c r="C20" i="8"/>
  <c r="C19" i="8"/>
  <c r="C18" i="8"/>
  <c r="C11" i="8"/>
  <c r="C9" i="8"/>
  <c r="C8" i="8"/>
  <c r="B34" i="7"/>
  <c r="D16" i="7"/>
  <c r="E16" i="7"/>
  <c r="G16" i="7" s="1"/>
  <c r="C16" i="7"/>
  <c r="B16" i="7"/>
  <c r="B33" i="7"/>
  <c r="G15" i="7"/>
  <c r="D15" i="7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K21" i="4"/>
  <c r="H21" i="4"/>
  <c r="C21" i="4"/>
  <c r="J21" i="4" s="1"/>
  <c r="F21" i="4"/>
  <c r="I20" i="4"/>
  <c r="C20" i="4"/>
  <c r="L20" i="4" s="1"/>
  <c r="C19" i="4"/>
  <c r="C18" i="4"/>
  <c r="C17" i="4"/>
  <c r="J17" i="4" s="1"/>
  <c r="H16" i="4"/>
  <c r="C16" i="4"/>
  <c r="C15" i="4"/>
  <c r="F15" i="4" s="1"/>
  <c r="C14" i="4"/>
  <c r="C13" i="4"/>
  <c r="C12" i="4"/>
  <c r="C11" i="4"/>
  <c r="L10" i="4"/>
  <c r="K10" i="4"/>
  <c r="C10" i="4"/>
  <c r="C9" i="4"/>
  <c r="H9" i="4" s="1"/>
  <c r="C8" i="4"/>
  <c r="C7" i="4"/>
  <c r="C6" i="4"/>
  <c r="C5" i="4"/>
  <c r="L16" i="3"/>
  <c r="C16" i="3"/>
  <c r="B16" i="3"/>
  <c r="L15" i="3"/>
  <c r="C15" i="3"/>
  <c r="B15" i="3"/>
  <c r="L14" i="3"/>
  <c r="C14" i="3"/>
  <c r="B14" i="3"/>
  <c r="L13" i="3"/>
  <c r="C13" i="3"/>
  <c r="B13" i="3"/>
  <c r="L9" i="3"/>
  <c r="L8" i="3"/>
  <c r="L7" i="3"/>
  <c r="L6" i="3"/>
  <c r="J14" i="2"/>
  <c r="L23" i="4" s="1"/>
  <c r="J13" i="2"/>
  <c r="K23" i="4"/>
  <c r="J12" i="2"/>
  <c r="J23" i="4" s="1"/>
  <c r="J11" i="2"/>
  <c r="I23" i="4"/>
  <c r="J10" i="2"/>
  <c r="H23" i="4" s="1"/>
  <c r="J9" i="2"/>
  <c r="G23" i="4"/>
  <c r="J8" i="2"/>
  <c r="F23" i="4" s="1"/>
  <c r="J7" i="2"/>
  <c r="J6" i="2"/>
  <c r="E23" i="4"/>
  <c r="J5" i="2"/>
  <c r="D23" i="4" s="1"/>
  <c r="M7" i="6"/>
  <c r="C10" i="8"/>
  <c r="N14" i="6"/>
  <c r="D18" i="6" s="1"/>
  <c r="M5" i="6"/>
  <c r="O5" i="6"/>
  <c r="C45" i="7"/>
  <c r="C46" i="7"/>
  <c r="C47" i="7"/>
  <c r="C48" i="7" s="1"/>
  <c r="H20" i="4"/>
  <c r="J20" i="4"/>
  <c r="G20" i="4"/>
  <c r="F20" i="4"/>
  <c r="D20" i="4"/>
  <c r="E20" i="4"/>
  <c r="L19" i="4"/>
  <c r="D19" i="4"/>
  <c r="E19" i="4"/>
  <c r="F19" i="4"/>
  <c r="G19" i="4"/>
  <c r="H19" i="4"/>
  <c r="I19" i="4"/>
  <c r="J19" i="4"/>
  <c r="K19" i="4"/>
  <c r="D18" i="4"/>
  <c r="G18" i="4"/>
  <c r="H18" i="4"/>
  <c r="I18" i="4"/>
  <c r="J18" i="4"/>
  <c r="L18" i="4"/>
  <c r="E18" i="4"/>
  <c r="F18" i="4"/>
  <c r="K18" i="4"/>
  <c r="K17" i="4"/>
  <c r="F16" i="4"/>
  <c r="D16" i="4"/>
  <c r="G16" i="4"/>
  <c r="L16" i="4"/>
  <c r="J16" i="4"/>
  <c r="I16" i="4"/>
  <c r="E16" i="4"/>
  <c r="K16" i="4"/>
  <c r="K15" i="4"/>
  <c r="E15" i="4"/>
  <c r="E14" i="4"/>
  <c r="D14" i="4"/>
  <c r="L14" i="4"/>
  <c r="J14" i="4"/>
  <c r="K14" i="4"/>
  <c r="I14" i="4"/>
  <c r="H14" i="4"/>
  <c r="G14" i="4"/>
  <c r="F14" i="4"/>
  <c r="D13" i="4"/>
  <c r="E13" i="4"/>
  <c r="G13" i="4"/>
  <c r="H13" i="4"/>
  <c r="I13" i="4"/>
  <c r="K13" i="4"/>
  <c r="L13" i="4"/>
  <c r="J13" i="4"/>
  <c r="F13" i="4"/>
  <c r="E12" i="4"/>
  <c r="J12" i="4"/>
  <c r="K12" i="4"/>
  <c r="L12" i="4"/>
  <c r="D12" i="4"/>
  <c r="I12" i="4"/>
  <c r="G12" i="4"/>
  <c r="F12" i="4"/>
  <c r="H12" i="4"/>
  <c r="H11" i="4"/>
  <c r="J11" i="4"/>
  <c r="L11" i="4"/>
  <c r="I11" i="4"/>
  <c r="F11" i="4"/>
  <c r="K11" i="4"/>
  <c r="D11" i="4"/>
  <c r="E11" i="4"/>
  <c r="G11" i="4"/>
  <c r="D10" i="4"/>
  <c r="E10" i="4"/>
  <c r="F10" i="4"/>
  <c r="G10" i="4"/>
  <c r="I10" i="4"/>
  <c r="H10" i="4"/>
  <c r="J10" i="4"/>
  <c r="E9" i="4"/>
  <c r="F9" i="4"/>
  <c r="G9" i="4"/>
  <c r="I9" i="4"/>
  <c r="J9" i="4"/>
  <c r="L8" i="4"/>
  <c r="I8" i="4"/>
  <c r="D8" i="4"/>
  <c r="F8" i="4"/>
  <c r="E8" i="4"/>
  <c r="G8" i="4"/>
  <c r="H8" i="4"/>
  <c r="J8" i="4"/>
  <c r="K8" i="4"/>
  <c r="G7" i="4"/>
  <c r="F7" i="4"/>
  <c r="E7" i="4"/>
  <c r="D7" i="4"/>
  <c r="H7" i="4"/>
  <c r="L7" i="4"/>
  <c r="K7" i="4"/>
  <c r="J7" i="4"/>
  <c r="I7" i="4"/>
  <c r="G6" i="4"/>
  <c r="F6" i="4"/>
  <c r="I6" i="4"/>
  <c r="E6" i="4"/>
  <c r="D6" i="4"/>
  <c r="L6" i="4"/>
  <c r="H6" i="4"/>
  <c r="J6" i="4"/>
  <c r="K6" i="4"/>
  <c r="E5" i="4"/>
  <c r="D5" i="4"/>
  <c r="L5" i="4"/>
  <c r="K5" i="4"/>
  <c r="J5" i="4"/>
  <c r="I5" i="4"/>
  <c r="H5" i="4"/>
  <c r="G5" i="4"/>
  <c r="F5" i="4"/>
  <c r="D16" i="3"/>
  <c r="G16" i="3"/>
  <c r="F16" i="3"/>
  <c r="E16" i="3"/>
  <c r="K16" i="3"/>
  <c r="J16" i="3"/>
  <c r="F6" i="5" s="1"/>
  <c r="I16" i="3"/>
  <c r="H16" i="3"/>
  <c r="K15" i="3"/>
  <c r="J15" i="3"/>
  <c r="I15" i="3"/>
  <c r="H15" i="3"/>
  <c r="G15" i="3"/>
  <c r="F15" i="3"/>
  <c r="E14" i="5" s="1"/>
  <c r="D15" i="3"/>
  <c r="E15" i="3"/>
  <c r="K14" i="3"/>
  <c r="J14" i="3"/>
  <c r="I14" i="3"/>
  <c r="H14" i="3"/>
  <c r="F14" i="3"/>
  <c r="E14" i="3"/>
  <c r="D14" i="3"/>
  <c r="G14" i="3"/>
  <c r="G13" i="3"/>
  <c r="H13" i="3"/>
  <c r="I13" i="3"/>
  <c r="J13" i="3"/>
  <c r="K13" i="3"/>
  <c r="D13" i="3"/>
  <c r="E13" i="3"/>
  <c r="F13" i="3"/>
  <c r="D19" i="6"/>
  <c r="D20" i="6"/>
  <c r="D21" i="6"/>
  <c r="D22" i="6"/>
  <c r="D17" i="7"/>
  <c r="E17" i="7" s="1"/>
  <c r="F5" i="5"/>
  <c r="E11" i="5"/>
  <c r="E6" i="5"/>
  <c r="D8" i="5"/>
  <c r="C10" i="5"/>
  <c r="C19" i="5"/>
  <c r="C12" i="8"/>
  <c r="C13" i="8" s="1"/>
  <c r="D18" i="7" l="1"/>
  <c r="E18" i="7" s="1"/>
  <c r="G17" i="7"/>
  <c r="M9" i="6"/>
  <c r="O9" i="6"/>
  <c r="D26" i="8"/>
  <c r="D18" i="8"/>
  <c r="D27" i="8"/>
  <c r="D25" i="8"/>
  <c r="D24" i="8"/>
  <c r="D19" i="8"/>
  <c r="D23" i="8"/>
  <c r="D22" i="8"/>
  <c r="D21" i="8"/>
  <c r="D20" i="8"/>
  <c r="F26" i="5"/>
  <c r="M11" i="6"/>
  <c r="O11" i="6"/>
  <c r="O14" i="6"/>
  <c r="E22" i="6" s="1"/>
  <c r="F20" i="7"/>
  <c r="C11" i="5"/>
  <c r="C7" i="5"/>
  <c r="C6" i="5"/>
  <c r="D6" i="5"/>
  <c r="D18" i="5"/>
  <c r="D25" i="5" s="1"/>
  <c r="E20" i="5"/>
  <c r="E8" i="5"/>
  <c r="F19" i="5"/>
  <c r="J15" i="4"/>
  <c r="L17" i="4"/>
  <c r="D17" i="4"/>
  <c r="L21" i="4"/>
  <c r="C8" i="5"/>
  <c r="C5" i="5"/>
  <c r="M13" i="3"/>
  <c r="D19" i="5"/>
  <c r="E13" i="5"/>
  <c r="E19" i="5"/>
  <c r="M15" i="3"/>
  <c r="F12" i="5"/>
  <c r="L9" i="4"/>
  <c r="E9" i="5" s="1"/>
  <c r="D9" i="4"/>
  <c r="D15" i="4"/>
  <c r="E17" i="4"/>
  <c r="D21" i="4"/>
  <c r="C16" i="5"/>
  <c r="D10" i="5"/>
  <c r="D12" i="5"/>
  <c r="E5" i="5"/>
  <c r="F16" i="5"/>
  <c r="F18" i="5"/>
  <c r="F25" i="5" s="1"/>
  <c r="F27" i="5" s="1"/>
  <c r="F28" i="5" s="1"/>
  <c r="K9" i="4"/>
  <c r="F9" i="5" s="1"/>
  <c r="I15" i="4"/>
  <c r="F17" i="4"/>
  <c r="E21" i="4"/>
  <c r="C21" i="5" s="1"/>
  <c r="C18" i="5"/>
  <c r="C25" i="5" s="1"/>
  <c r="C14" i="5"/>
  <c r="D7" i="5"/>
  <c r="D13" i="5"/>
  <c r="E12" i="5"/>
  <c r="E18" i="5"/>
  <c r="E25" i="5" s="1"/>
  <c r="F7" i="5"/>
  <c r="F10" i="5"/>
  <c r="H15" i="4"/>
  <c r="G17" i="4"/>
  <c r="G21" i="4"/>
  <c r="C13" i="5"/>
  <c r="C26" i="5"/>
  <c r="D16" i="5"/>
  <c r="D26" i="5"/>
  <c r="D5" i="5"/>
  <c r="E10" i="5"/>
  <c r="F13" i="5"/>
  <c r="H17" i="4"/>
  <c r="D14" i="5"/>
  <c r="M14" i="3"/>
  <c r="E7" i="5"/>
  <c r="E16" i="5"/>
  <c r="F11" i="5"/>
  <c r="F14" i="5"/>
  <c r="M16" i="3"/>
  <c r="G15" i="4"/>
  <c r="E15" i="5" s="1"/>
  <c r="L15" i="4"/>
  <c r="I17" i="4"/>
  <c r="K20" i="4"/>
  <c r="C20" i="5" s="1"/>
  <c r="I21" i="4"/>
  <c r="C12" i="5"/>
  <c r="D11" i="5"/>
  <c r="E26" i="5"/>
  <c r="F8" i="5"/>
  <c r="E19" i="6" l="1"/>
  <c r="F17" i="5"/>
  <c r="E17" i="5"/>
  <c r="E29" i="5" s="1"/>
  <c r="C17" i="5"/>
  <c r="D17" i="5"/>
  <c r="D27" i="5"/>
  <c r="D28" i="5" s="1"/>
  <c r="E21" i="6"/>
  <c r="D20" i="5"/>
  <c r="E27" i="5"/>
  <c r="E28" i="5" s="1"/>
  <c r="D9" i="5"/>
  <c r="E20" i="6"/>
  <c r="E21" i="5"/>
  <c r="F21" i="5"/>
  <c r="E18" i="6"/>
  <c r="D23" i="6"/>
  <c r="C15" i="5"/>
  <c r="F20" i="5"/>
  <c r="D15" i="5"/>
  <c r="G18" i="7"/>
  <c r="D19" i="7"/>
  <c r="E19" i="7" s="1"/>
  <c r="F15" i="5"/>
  <c r="F29" i="5" s="1"/>
  <c r="D21" i="5"/>
  <c r="C27" i="5"/>
  <c r="C28" i="5" s="1"/>
  <c r="C9" i="5"/>
  <c r="G19" i="7" l="1"/>
  <c r="C9" i="10"/>
  <c r="C13" i="10"/>
  <c r="C10" i="10"/>
  <c r="D20" i="7"/>
  <c r="E20" i="7" s="1"/>
  <c r="C11" i="10"/>
  <c r="C8" i="10"/>
  <c r="C12" i="10"/>
  <c r="C6" i="10"/>
  <c r="C7" i="10"/>
  <c r="D29" i="5"/>
  <c r="C29" i="5"/>
  <c r="D21" i="7" l="1"/>
  <c r="G21" i="7"/>
  <c r="G20" i="7"/>
  <c r="C24" i="7" s="1"/>
  <c r="C25" i="7" l="1"/>
  <c r="D6" i="10"/>
  <c r="E6" i="10" s="1"/>
  <c r="F6" i="10" s="1"/>
  <c r="G6" i="10" s="1"/>
  <c r="H6" i="10" s="1"/>
  <c r="D13" i="10"/>
  <c r="E13" i="10" s="1"/>
  <c r="F13" i="10" s="1"/>
  <c r="G13" i="10" s="1"/>
  <c r="H13" i="10" s="1"/>
  <c r="D12" i="10"/>
  <c r="E12" i="10" s="1"/>
  <c r="F12" i="10" s="1"/>
  <c r="G12" i="10" s="1"/>
  <c r="H12" i="10" s="1"/>
  <c r="D10" i="10"/>
  <c r="E10" i="10" s="1"/>
  <c r="F10" i="10" s="1"/>
  <c r="G10" i="10" s="1"/>
  <c r="H10" i="10" s="1"/>
  <c r="D8" i="10"/>
  <c r="E8" i="10" s="1"/>
  <c r="F8" i="10" s="1"/>
  <c r="G8" i="10" s="1"/>
  <c r="H8" i="10" s="1"/>
  <c r="D9" i="10"/>
  <c r="E9" i="10" s="1"/>
  <c r="F9" i="10" s="1"/>
  <c r="G9" i="10" s="1"/>
  <c r="H9" i="10" s="1"/>
  <c r="D11" i="10"/>
  <c r="E11" i="10" s="1"/>
  <c r="F11" i="10" s="1"/>
  <c r="G11" i="10" s="1"/>
  <c r="H11" i="10" s="1"/>
  <c r="D7" i="10"/>
  <c r="E7" i="10" s="1"/>
  <c r="F7" i="10" s="1"/>
  <c r="G7" i="10" s="1"/>
  <c r="H7" i="10" s="1"/>
  <c r="H16" i="7" l="1"/>
  <c r="C26" i="7"/>
  <c r="C27" i="7"/>
  <c r="C6" i="8" l="1"/>
  <c r="C33" i="7"/>
  <c r="E33" i="7" s="1"/>
  <c r="F33" i="7" s="1"/>
  <c r="D48" i="7"/>
  <c r="H17" i="7"/>
  <c r="C34" i="7" l="1"/>
  <c r="E34" i="7" s="1"/>
  <c r="F34" i="7" s="1"/>
  <c r="D47" i="7"/>
  <c r="H18" i="7"/>
  <c r="C14" i="8"/>
  <c r="C35" i="7" l="1"/>
  <c r="E35" i="7" s="1"/>
  <c r="F35" i="7" s="1"/>
  <c r="D46" i="7"/>
  <c r="H19" i="7"/>
  <c r="E23" i="8"/>
  <c r="F23" i="8" s="1"/>
  <c r="G23" i="8" s="1"/>
  <c r="E27" i="8"/>
  <c r="F27" i="8" s="1"/>
  <c r="G27" i="8" s="1"/>
  <c r="E19" i="8"/>
  <c r="F19" i="8" s="1"/>
  <c r="G19" i="8" s="1"/>
  <c r="E25" i="8"/>
  <c r="F25" i="8" s="1"/>
  <c r="G25" i="8" s="1"/>
  <c r="E20" i="8"/>
  <c r="F20" i="8" s="1"/>
  <c r="G20" i="8" s="1"/>
  <c r="E22" i="8"/>
  <c r="F22" i="8" s="1"/>
  <c r="G22" i="8" s="1"/>
  <c r="E26" i="8"/>
  <c r="F26" i="8" s="1"/>
  <c r="G26" i="8" s="1"/>
  <c r="E18" i="8"/>
  <c r="F18" i="8" s="1"/>
  <c r="G18" i="8" s="1"/>
  <c r="E21" i="8"/>
  <c r="F21" i="8" s="1"/>
  <c r="G21" i="8" s="1"/>
  <c r="E24" i="8"/>
  <c r="F24" i="8" s="1"/>
  <c r="G24" i="8" s="1"/>
  <c r="H20" i="7" l="1"/>
  <c r="C36" i="7"/>
  <c r="E36" i="7" s="1"/>
  <c r="F36" i="7" s="1"/>
  <c r="D45" i="7"/>
  <c r="H21" i="7" l="1"/>
  <c r="D43" i="7" s="1"/>
  <c r="C37" i="7"/>
  <c r="E37" i="7" s="1"/>
  <c r="F37" i="7" s="1"/>
  <c r="D44" i="7"/>
</calcChain>
</file>

<file path=xl/sharedStrings.xml><?xml version="1.0" encoding="utf-8"?>
<sst xmlns="http://schemas.openxmlformats.org/spreadsheetml/2006/main" count="317" uniqueCount="236">
  <si>
    <t>Constituyente</t>
  </si>
  <si>
    <t>M (kg/mol)</t>
  </si>
  <si>
    <t>n átomos</t>
  </si>
  <si>
    <t>a</t>
  </si>
  <si>
    <t>b</t>
  </si>
  <si>
    <t>c</t>
  </si>
  <si>
    <t>T mín (K)</t>
  </si>
  <si>
    <t>T máx (K)</t>
  </si>
  <si>
    <t>3R/M (J/kg·K)</t>
  </si>
  <si>
    <t>Nota</t>
  </si>
  <si>
    <t>MgO</t>
  </si>
  <si>
    <t>Periclasa</t>
  </si>
  <si>
    <t>Al2O3</t>
  </si>
  <si>
    <t>Corindón</t>
  </si>
  <si>
    <t>SiO2 (α-cuarzo)</t>
  </si>
  <si>
    <t>Se usa por debajo de 847 K</t>
  </si>
  <si>
    <t>SiO2 (β-cuarzo)</t>
  </si>
  <si>
    <t>Se usa por encima de 847 K</t>
  </si>
  <si>
    <t>CaO</t>
  </si>
  <si>
    <t>Cal</t>
  </si>
  <si>
    <t>Fe2O3</t>
  </si>
  <si>
    <t>Hematita; rango corto, se satura en 950 K</t>
  </si>
  <si>
    <t>TiO2</t>
  </si>
  <si>
    <t>Rutilo</t>
  </si>
  <si>
    <t>Na2O</t>
  </si>
  <si>
    <t>APROXIMADO (±10 %). Álcali en fase vítrea</t>
  </si>
  <si>
    <t>K2O</t>
  </si>
  <si>
    <t>C (grafito)</t>
  </si>
  <si>
    <t>Grafito + carbono residual del ligante</t>
  </si>
  <si>
    <t>Verificación rápida a 298 K: MgO ≈ 37.2 · Al2O3 ≈ 79.0 · SiO2 ≈ 44.5 · C ≈ 8.5 J/mol·K (valores tabulados). Si al editar un coeficiente el valor a 298 K se aleja, hay error de captura.</t>
  </si>
  <si>
    <t>3R/M es el límite clásico de Dulong-Petit por unidad de masa; se usa en 04 como control de cordura.</t>
  </si>
  <si>
    <t>Los álcalis (Na2O, K2O) no están tabulados con la misma calidad que los óxidos mayores y en un refractario cocido no existen como óxido libre, sino disueltos en la fase vítrea. Los coeficientes usados reproducen ~3R+20 % a 1000 K, que es lo físicamente esperable. Con ≤ 6 % en masa la incertidumbre que introducen en la mezcla es &lt; 1.5 %.</t>
  </si>
  <si>
    <t>A · Análisis como lo reporta el proveedor (% peso)</t>
  </si>
  <si>
    <t>Capa</t>
  </si>
  <si>
    <t>Material</t>
  </si>
  <si>
    <t>SiO2</t>
  </si>
  <si>
    <t>Σ óxidos</t>
  </si>
  <si>
    <t>% C fijo</t>
  </si>
  <si>
    <t>C grafito</t>
  </si>
  <si>
    <t>Σ (control)</t>
  </si>
  <si>
    <t>La columna Σ (control) debe dar 1.0000 en las cuatro filas. Si no, hay un error de captura en la sección A.</t>
  </si>
  <si>
    <t>El orden de las columnas D:L es el MISMO que en 03_cp_constituyentes; no insertar ni mover columnas.</t>
  </si>
  <si>
    <t>T (°C)</t>
  </si>
  <si>
    <t>T (K)</t>
  </si>
  <si>
    <t>Límite 3R/M</t>
  </si>
  <si>
    <t>(Dulong-Petit)</t>
  </si>
  <si>
    <t>1 Trabajo
MgO-C</t>
  </si>
  <si>
    <t>2 Junta de sello
bauxita</t>
  </si>
  <si>
    <t>3 Seguridad
Al2O3-SiO2</t>
  </si>
  <si>
    <t>4 Aislante
vermiculita</t>
  </si>
  <si>
    <t>5 Coraza
acero (tabla)</t>
  </si>
  <si>
    <t>Comentario</t>
  </si>
  <si>
    <t>Verificación obligatoria contra el límite de Dulong-Petit</t>
  </si>
  <si>
    <t>Concepto</t>
  </si>
  <si>
    <t>1 Trabajo</t>
  </si>
  <si>
    <t>2 Junta</t>
  </si>
  <si>
    <t>3 Seguridad</t>
  </si>
  <si>
    <t>4 Aislante</t>
  </si>
  <si>
    <t>5 Coraza</t>
  </si>
  <si>
    <t>n/a</t>
  </si>
  <si>
    <t>Exceso sobre 3R</t>
  </si>
  <si>
    <t>Veredicto</t>
  </si>
  <si>
    <t>05 · Tabla consolidada de propiedades y reparto térmico</t>
  </si>
  <si>
    <t>e (mm)</t>
  </si>
  <si>
    <t>ρ (kg/m³)</t>
  </si>
  <si>
    <t>α (m²/s)</t>
  </si>
  <si>
    <t>R" (m²K/W)</t>
  </si>
  <si>
    <t>C" (J/m²K)</t>
  </si>
  <si>
    <t>T máx servicio (°C)</t>
  </si>
  <si>
    <t>% de la resistencia</t>
  </si>
  <si>
    <t>% de la capacidad térmica</t>
  </si>
  <si>
    <t>h   (τ = R"·C")</t>
  </si>
  <si>
    <t>Entradas</t>
  </si>
  <si>
    <t>r₁ interior (m)</t>
  </si>
  <si>
    <t>H útil (m)</t>
  </si>
  <si>
    <t>T del acero (°C)</t>
  </si>
  <si>
    <t>h interior (W/m²K)</t>
  </si>
  <si>
    <t>T ambiente de nave (°C)</t>
  </si>
  <si>
    <t>h exterior (W/m²K)</t>
  </si>
  <si>
    <t>Resistencias por capa (por metro de altura)</t>
  </si>
  <si>
    <t>r int (m)</t>
  </si>
  <si>
    <t>r ext (m)</t>
  </si>
  <si>
    <t>k media (W/m·K)</t>
  </si>
  <si>
    <t>R' (m·K/W)</t>
  </si>
  <si>
    <t>T interfaz (°C)</t>
  </si>
  <si>
    <t>Convección interior</t>
  </si>
  <si>
    <t>Cara caliente</t>
  </si>
  <si>
    <t>Interfaz aislante / coraza</t>
  </si>
  <si>
    <t>Convección exterior</t>
  </si>
  <si>
    <t>Cara fría de la coraza</t>
  </si>
  <si>
    <t>Resultados</t>
  </si>
  <si>
    <t>R' total (m·K/W)</t>
  </si>
  <si>
    <t>q' (W/m de altura)</t>
  </si>
  <si>
    <t>ΔT entre acero y ambiente</t>
  </si>
  <si>
    <t>q" en la cara caliente (W/m²)</t>
  </si>
  <si>
    <t>Pérdida por la pared (kW)</t>
  </si>
  <si>
    <t>En toda la altura útil</t>
  </si>
  <si>
    <t>Criterio de cordura: la cara fría debe quedar entre 250 y 400 °C. Fuera de esa banda, revisar k del aislante o h exterior antes de seguir.</t>
  </si>
  <si>
    <t>La formulación plana subestima el flujo ~13 % con e/r₁ = 0.18: usar cilíndrica.</t>
  </si>
  <si>
    <t>Verificación contra la temperatura máxima de servicio</t>
  </si>
  <si>
    <t>T en su cara caliente (°C)</t>
  </si>
  <si>
    <t>T máx (°C)</t>
  </si>
  <si>
    <t>Margen (°C)</t>
  </si>
  <si>
    <t>Este chequeo es sobre el estacionario de olla llena, que es la cota superior del perfil: si una capa sale AL LÍMITE aquí, en operación real probablemente esté por debajo. Aun así, para la vermiculita conviene confirmarlo con el proveedor antes de fijar el diseño de capas.</t>
  </si>
  <si>
    <t>Tabla auxiliar de la gráfica — perfil desde la cara fría</t>
  </si>
  <si>
    <t>Punto</t>
  </si>
  <si>
    <t>x desde cara fría (m)</t>
  </si>
  <si>
    <t>Interfaz seguridad / aislante</t>
  </si>
  <si>
    <t>Interfaz junta seca / seguridad</t>
  </si>
  <si>
    <t>Interfaz trabajo / junta seca</t>
  </si>
  <si>
    <t>Los tramos son rectos entre interfaces; el perfil real dentro de cada capa es logarítmico (cilíndrico) y se curva más si k depende de T. Para ver esa curvatura hay que insertar puntos intermedios por capa.</t>
  </si>
  <si>
    <t>07 · Estimación analítica del enfriamiento de la cara caliente (olla vacía)</t>
  </si>
  <si>
    <t>Sólido semiinfinito con frontera radiativa linealizada: (Ts−T∞)/(Ti−T∞) = exp(β²)·erfc(β), β = h_r·√(αt)/k. Sirve como cota y como prueba de cordura del código transitorio, no como resultado final.</t>
  </si>
  <si>
    <t>Ti — cara caliente al fin de colado (°C)</t>
  </si>
  <si>
    <t>Del estacionario de olla llena</t>
  </si>
  <si>
    <t>T∞ — ambiente que ve la boca (°C)</t>
  </si>
  <si>
    <t>r₁ (m)</t>
  </si>
  <si>
    <t>ε efectiva de cavidad, F = r/(2H+r)</t>
  </si>
  <si>
    <t>Usar ε desnuda sobreestima ~5 veces la pérdida</t>
  </si>
  <si>
    <t>k de la capa 1 (W/m·K)</t>
  </si>
  <si>
    <t>ρcp de la capa 1 a 800 °C (J/m³K)</t>
  </si>
  <si>
    <t>Con cp de NKR</t>
  </si>
  <si>
    <t>α de la capa 1 (m²/s)</t>
  </si>
  <si>
    <t>h_r evaluado en Ti (W/m²K)</t>
  </si>
  <si>
    <t>h_r = εσ(Ts+T∞)(Ts²+T∞²)</t>
  </si>
  <si>
    <t>Curva de enfriamiento</t>
  </si>
  <si>
    <t>t (min)</t>
  </si>
  <si>
    <t>t (s)</t>
  </si>
  <si>
    <t>√(αt) (m)</t>
  </si>
  <si>
    <t>β</t>
  </si>
  <si>
    <t>exp(β²)·erfc(β)</t>
  </si>
  <si>
    <t>Ts (°C)</t>
  </si>
  <si>
    <t>h_r evaluado en Ti enfría de más: entre 1550 y 700 °C el h_r cae un factor ~5. La banda entre esta cota y la que resulta de iterar la temperatura de referencia es amplia — y es exactamente la razón por la que el término T⁴ debe quedar EXPLÍCITO en el transitorio, con 2–3 iteraciones por paso.</t>
  </si>
  <si>
    <t>Verificación cualitativa decisiva del código: al enfriarse, el máximo de temperatura debe migrar hacia el interior del refractario. Si se queda en la cara caliente, la condición de frontera radiativa está mal.</t>
  </si>
  <si>
    <t>08 · Semáforo de datos</t>
  </si>
  <si>
    <t>Estados: MEDIDA (ensayo propio) · FICHA (dato del proveedor) · NKR (calculada en este libro) · LITERATURA · SUPUESTA (a sustituir).</t>
  </si>
  <si>
    <t>Propiedad</t>
  </si>
  <si>
    <t>Estado</t>
  </si>
  <si>
    <t>Fuente</t>
  </si>
  <si>
    <t>Composición química</t>
  </si>
  <si>
    <t>FICHA</t>
  </si>
  <si>
    <t>Proveedor, 18-ago-2026</t>
  </si>
  <si>
    <t>Base calcinada + 10 % C fijo</t>
  </si>
  <si>
    <t>cp(T)</t>
  </si>
  <si>
    <t>NKR</t>
  </si>
  <si>
    <t>Este libro, hoja 04</t>
  </si>
  <si>
    <t>±3–5 %; sustituir por DSC ASTM E1269 si se requiere</t>
  </si>
  <si>
    <t>ρ</t>
  </si>
  <si>
    <t>Proveedor (bulk red. 1000 °C)</t>
  </si>
  <si>
    <t>2990 kg/m³ es el valor de olla en servicio (ligante ya coquizado)</t>
  </si>
  <si>
    <t>k(T)</t>
  </si>
  <si>
    <t>FICHA parcial</t>
  </si>
  <si>
    <t>Proveedor, un punto a 1000 °C</t>
  </si>
  <si>
    <t>Pedir curva ASTM C1113 en atmósfera reductora</t>
  </si>
  <si>
    <t>Quemada 1025 °C, ISO 12677; huella de bauxita calcinada</t>
  </si>
  <si>
    <t>ρ instalada</t>
  </si>
  <si>
    <t>SUPUESTA</t>
  </si>
  <si>
    <t>Banda 2100–2500 kg/m³</t>
  </si>
  <si>
    <t>Pedir rendimiento (kg/m³) al proveedor: es el dato más fácil de conseguir</t>
  </si>
  <si>
    <t>Proveedor, 3 puntos</t>
  </si>
  <si>
    <t>1.60–1.75 W/m·K; el valor real duplica el supuesto de v2</t>
  </si>
  <si>
    <t>Proveedor, 19-ago-2026</t>
  </si>
  <si>
    <t>Coherente: ρ_real = 2.57/(1−0.20) = 3.21 g/cm³, propio de mullita + corindón</t>
  </si>
  <si>
    <t>ρ, porosidad</t>
  </si>
  <si>
    <t>2.57 g/cm³, 20 % vol.</t>
  </si>
  <si>
    <t>Proveedor, 4 puntos</t>
  </si>
  <si>
    <t>Vermiculita exfoliada; LOI 2.8 % excluida del cp</t>
  </si>
  <si>
    <t>Incluye Fe2O3 y K2O explícitos; Na2O aporta &lt; 0.01 %</t>
  </si>
  <si>
    <t>LITERATURA</t>
  </si>
  <si>
    <t>Vermiculita exfoliada, banda típica</t>
  </si>
  <si>
    <t>0.10→0.19 W/m·K creciente. Sin medir: ver sensibilidad en la hoja 09. PRIORIDAD MÁXIMA</t>
  </si>
  <si>
    <t>Banda 300–450 kg/m³</t>
  </si>
  <si>
    <t>350 kg/m³ es coherente con vermiculita, pero pedir el dato de ficha</t>
  </si>
  <si>
    <t>T máx de servicio</t>
  </si>
  <si>
    <t>POR VERIFICAR</t>
  </si>
  <si>
    <t>Proveedor</t>
  </si>
  <si>
    <t>La vermiculita suele limitarse a ~1100 °C; la interfaz seguridad/aislante calcula ~1050 °C</t>
  </si>
  <si>
    <t>Incropera / Touloukian, AISI 1010</t>
  </si>
  <si>
    <t>No aplica NKR: Curie 770 °C y α→γ 912 °C</t>
  </si>
  <si>
    <t>Espesor</t>
  </si>
  <si>
    <t>Planta</t>
  </si>
  <si>
    <t>1.5 mm es atípico; afecta poco al perfil y mucho a la inercia</t>
  </si>
  <si>
    <t>—</t>
  </si>
  <si>
    <t>Duración del enfriamiento</t>
  </si>
  <si>
    <t>FALTA</t>
  </si>
  <si>
    <t>Sigue siendo el dato de proceso más influyente del modelo</t>
  </si>
  <si>
    <t>09 · Sensibilidad del perfil a k del aislante (el único parámetro que falta y que manda)</t>
  </si>
  <si>
    <t>Se recalcula el estacionario de 06 variando sólo k del aislante; todo lo demás queda fijo. Mientras no haya medición, este es el rango honesto de resultados del modelo.</t>
  </si>
  <si>
    <t>k aislante (W/m·K)</t>
  </si>
  <si>
    <t>R' aislante</t>
  </si>
  <si>
    <t>R' total</t>
  </si>
  <si>
    <t>q' (W/m)</t>
  </si>
  <si>
    <t>Cara caliente (°C)</t>
  </si>
  <si>
    <t>Interfaz seguridad/aislante (°C)</t>
  </si>
  <si>
    <t>Cara fría (°C)</t>
  </si>
  <si>
    <t>Microporoso de alta calidad</t>
  </si>
  <si>
    <t>Vermiculita, extremo bajo (400 °C)</t>
  </si>
  <si>
    <t>k media usada en 06</t>
  </si>
  <si>
    <t>Vermiculita a 1200 °C</t>
  </si>
  <si>
    <t>Aislante degradado o mal instalado</t>
  </si>
  <si>
    <t>Lectura</t>
  </si>
  <si>
    <t>La cara caliente casi no se mueve: el aislante no la controla. Lo que se mueve mucho es la temperatura de la cara fría (coraza) y la de la interfaz seguridad/aislante — es decir, exactamente las dos cosas que se usan para validar el modelo contra planta y para juzgar el límite de servicio de la vermiculita.</t>
  </si>
  <si>
    <t>Consecuencia práctica: k del aislante es el primer candidato a parámetro de calibración contra la temperatura de coraza medida. Ajustar en el orden R"c de contacto → ε y h exterior → k del aislante, nunca más de 2–3 parámetros, y nunca espesores ni duraciones.</t>
  </si>
  <si>
    <t>Si la coraza medida cae fuera de la banda de esta tabla, el problema no es k del aislante: revisar h exterior, emisividad, o la hipótesis de contacto perfecto entre capas.</t>
  </si>
  <si>
    <t>Trabajo — ANCARBON C F5L10</t>
  </si>
  <si>
    <t>Junta de sello — COMPAC DRY B83P</t>
  </si>
  <si>
    <t>Seguridad — RESISTAL B65</t>
  </si>
  <si>
    <t>Aislante — SKAMOL VIP 12 HT</t>
  </si>
  <si>
    <t>B · Fracciones másicas normalizadas a base real</t>
  </si>
  <si>
    <t>CQ por capa</t>
  </si>
  <si>
    <t>Coeficientes de Maier-Kelley por constituyente</t>
  </si>
  <si>
    <t>Cp = a + b·T + c·T⁻²  [J/mol·K], T en kelvin. Fuente: Barin (1995) / NIST-JANAF.</t>
  </si>
  <si>
    <t>Cp(T) de cada constituyente puro, base másica  [J/kg·K]</t>
  </si>
  <si>
    <t>cp,ᵢ = (a + b·T + c/T²)/Mᵢ con T en K</t>
  </si>
  <si>
    <t>cp_capa(T) = Σ wᵢ·cp,ᵢ(T)</t>
  </si>
  <si>
    <t xml:space="preserve">Cp(T) por capa  [J/kg·K] </t>
  </si>
  <si>
    <t>OK / NO OK</t>
  </si>
  <si>
    <t>Cp medio 400–1300 °C</t>
  </si>
  <si>
    <t>Cp NKR a 1300 °C</t>
  </si>
  <si>
    <t>k (W/mK)</t>
  </si>
  <si>
    <t>k media (W/mK)</t>
  </si>
  <si>
    <t>cp a 1500°C</t>
  </si>
  <si>
    <t>ρCp (J/m³K)</t>
  </si>
  <si>
    <t>(538 - 1000°C)</t>
  </si>
  <si>
    <t>400°C</t>
  </si>
  <si>
    <t>800°C</t>
  </si>
  <si>
    <t>1000°C</t>
  </si>
  <si>
    <t>1200°C</t>
  </si>
  <si>
    <t>200°C</t>
  </si>
  <si>
    <t>600°C</t>
  </si>
  <si>
    <t>TOTALES</t>
  </si>
  <si>
    <t>Reparto Térmico</t>
  </si>
  <si>
    <t>Constante de tiempo del revestimiento (hrs)</t>
  </si>
  <si>
    <t>Estacionario - Olla llena</t>
  </si>
  <si>
    <r>
      <t>q' = ΔT / [1/(2πr₁h</t>
    </r>
    <r>
      <rPr>
        <i/>
        <vertAlign val="subscript"/>
        <sz val="9"/>
        <color indexed="46"/>
        <rFont val="Arial"/>
        <family val="2"/>
      </rPr>
      <t>int</t>
    </r>
    <r>
      <rPr>
        <i/>
        <sz val="9"/>
        <color indexed="46"/>
        <rFont val="Arial"/>
        <family val="2"/>
      </rPr>
      <t>) + Σ ln(rᵢ₊₁/rᵢ)/(2πkᵢ) + 1/(2πr</t>
    </r>
    <r>
      <rPr>
        <i/>
        <vertAlign val="subscript"/>
        <sz val="9"/>
        <color indexed="46"/>
        <rFont val="Arial"/>
        <family val="2"/>
      </rPr>
      <t>ext</t>
    </r>
    <r>
      <rPr>
        <i/>
        <sz val="9"/>
        <color indexed="46"/>
        <rFont val="Arial"/>
        <family val="2"/>
      </rPr>
      <t>·h</t>
    </r>
    <r>
      <rPr>
        <i/>
        <vertAlign val="subscript"/>
        <sz val="9"/>
        <color indexed="46"/>
        <rFont val="Arial"/>
        <family val="2"/>
      </rPr>
      <t>ext</t>
    </r>
    <r>
      <rPr>
        <i/>
        <sz val="9"/>
        <color indexed="46"/>
        <rFont val="Arial"/>
        <family val="2"/>
      </rPr>
      <t xml:space="preserve">)]. </t>
    </r>
  </si>
  <si>
    <t>Coraza — ACERO ASTM A516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</si>
</sst>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0.0"/>
    <numFmt numFmtId="166" formatCode="0.0000"/>
    <numFmt numFmtId="167" formatCode="0.0%"/>
    <numFmt numFmtId="168" formatCode="0.000"/>
  </numFmts>
  <fonts count="15" x14ac:knownFonts="1">
    <font>
      <sz val="11"/>
      <color theme="1"/>
      <name val="Calibri"/>
      <family val="2"/>
      <charset val="1"/>
    </font>
    <font>
      <i/>
      <sz val="9"/>
      <color indexed="46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name val="Calibri"/>
      <family val="2"/>
    </font>
    <font>
      <i/>
      <sz val="9"/>
      <name val="Calibri"/>
      <family val="2"/>
    </font>
    <font>
      <i/>
      <vertAlign val="subscript"/>
      <sz val="9"/>
      <color indexed="46"/>
      <name val="Arial"/>
      <family val="2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1"/>
      <color rgb="FF1F3864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1"/>
      <color rgb="FF1F4E79"/>
      <name val="Calibri"/>
      <family val="2"/>
    </font>
    <font>
      <b/>
      <sz val="10"/>
      <color theme="0"/>
      <name val="Arial"/>
      <family val="2"/>
    </font>
    <font>
      <b/>
      <sz val="14"/>
      <color rgb="FF1F3864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" fontId="10" fillId="0" borderId="1" xfId="0" applyNumberFormat="1" applyFont="1" applyBorder="1"/>
    <xf numFmtId="1" fontId="2" fillId="0" borderId="1" xfId="0" applyNumberFormat="1" applyFont="1" applyBorder="1"/>
    <xf numFmtId="0" fontId="8" fillId="0" borderId="1" xfId="0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0" fontId="3" fillId="0" borderId="1" xfId="0" applyFont="1" applyBorder="1"/>
    <xf numFmtId="1" fontId="11" fillId="0" borderId="1" xfId="0" applyNumberFormat="1" applyFont="1" applyBorder="1"/>
    <xf numFmtId="1" fontId="3" fillId="3" borderId="1" xfId="0" applyNumberFormat="1" applyFont="1" applyFill="1" applyBorder="1"/>
    <xf numFmtId="168" fontId="10" fillId="0" borderId="1" xfId="0" applyNumberFormat="1" applyFont="1" applyBorder="1"/>
    <xf numFmtId="168" fontId="2" fillId="0" borderId="1" xfId="0" applyNumberFormat="1" applyFont="1" applyBorder="1"/>
    <xf numFmtId="11" fontId="2" fillId="0" borderId="1" xfId="0" applyNumberFormat="1" applyFont="1" applyBorder="1"/>
    <xf numFmtId="0" fontId="3" fillId="0" borderId="0" xfId="0" applyFont="1"/>
    <xf numFmtId="164" fontId="2" fillId="0" borderId="1" xfId="0" applyNumberFormat="1" applyFont="1" applyBorder="1"/>
    <xf numFmtId="0" fontId="11" fillId="0" borderId="1" xfId="0" applyFont="1" applyBorder="1"/>
    <xf numFmtId="165" fontId="11" fillId="0" borderId="1" xfId="0" applyNumberFormat="1" applyFont="1" applyBorder="1"/>
    <xf numFmtId="168" fontId="11" fillId="0" borderId="1" xfId="0" applyNumberFormat="1" applyFont="1" applyBorder="1"/>
    <xf numFmtId="164" fontId="3" fillId="3" borderId="1" xfId="0" applyNumberFormat="1" applyFont="1" applyFill="1" applyBorder="1"/>
    <xf numFmtId="165" fontId="3" fillId="3" borderId="1" xfId="0" applyNumberFormat="1" applyFont="1" applyFill="1" applyBorder="1"/>
    <xf numFmtId="2" fontId="11" fillId="0" borderId="1" xfId="0" applyNumberFormat="1" applyFont="1" applyBorder="1"/>
    <xf numFmtId="11" fontId="11" fillId="0" borderId="1" xfId="0" applyNumberFormat="1" applyFont="1" applyBorder="1"/>
    <xf numFmtId="0" fontId="2" fillId="3" borderId="1" xfId="0" applyFont="1" applyFill="1" applyBorder="1"/>
    <xf numFmtId="0" fontId="2" fillId="4" borderId="1" xfId="0" applyFont="1" applyFill="1" applyBorder="1"/>
    <xf numFmtId="1" fontId="3" fillId="0" borderId="1" xfId="0" applyNumberFormat="1" applyFont="1" applyBorder="1"/>
    <xf numFmtId="168" fontId="10" fillId="3" borderId="1" xfId="0" applyNumberFormat="1" applyFont="1" applyFill="1" applyBorder="1"/>
    <xf numFmtId="0" fontId="12" fillId="0" borderId="0" xfId="0" applyFont="1"/>
    <xf numFmtId="0" fontId="4" fillId="0" borderId="0" xfId="0" applyFont="1"/>
    <xf numFmtId="0" fontId="5" fillId="0" borderId="0" xfId="0" applyFont="1"/>
    <xf numFmtId="164" fontId="10" fillId="0" borderId="1" xfId="0" applyNumberFormat="1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11" fontId="10" fillId="0" borderId="1" xfId="0" applyNumberFormat="1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68" fontId="13" fillId="5" borderId="2" xfId="0" applyNumberFormat="1" applyFont="1" applyFill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" fontId="10" fillId="6" borderId="1" xfId="0" applyNumberFormat="1" applyFont="1" applyFill="1" applyBorder="1" applyAlignment="1">
      <alignment horizontal="center" vertical="center"/>
    </xf>
    <xf numFmtId="168" fontId="10" fillId="6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8" fontId="2" fillId="0" borderId="1" xfId="0" applyNumberFormat="1" applyFont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1" fontId="10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right"/>
    </xf>
    <xf numFmtId="165" fontId="3" fillId="0" borderId="1" xfId="0" applyNumberFormat="1" applyFont="1" applyBorder="1" applyAlignment="1">
      <alignment horizontal="center"/>
    </xf>
    <xf numFmtId="166" fontId="3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167" fontId="2" fillId="0" borderId="0" xfId="0" applyNumberFormat="1" applyFont="1"/>
    <xf numFmtId="165" fontId="3" fillId="3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165" fontId="3" fillId="8" borderId="0" xfId="0" applyNumberFormat="1" applyFont="1" applyFill="1" applyAlignment="1">
      <alignment horizontal="center"/>
    </xf>
    <xf numFmtId="168" fontId="10" fillId="6" borderId="1" xfId="0" applyNumberFormat="1" applyFont="1" applyFill="1" applyBorder="1" applyAlignment="1">
      <alignment horizontal="center"/>
    </xf>
    <xf numFmtId="165" fontId="10" fillId="6" borderId="1" xfId="0" applyNumberFormat="1" applyFont="1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68" fontId="11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10" fillId="4" borderId="1" xfId="0" applyNumberFormat="1" applyFont="1" applyFill="1" applyBorder="1" applyAlignment="1">
      <alignment horizontal="center"/>
    </xf>
    <xf numFmtId="0" fontId="2" fillId="0" borderId="0" xfId="0" applyFont="1"/>
    <xf numFmtId="166" fontId="2" fillId="0" borderId="0" xfId="0" applyNumberFormat="1" applyFont="1"/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10" fillId="9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0" fillId="10" borderId="0" xfId="0" applyFill="1"/>
    <xf numFmtId="0" fontId="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168" fontId="2" fillId="0" borderId="4" xfId="0" applyNumberFormat="1" applyFont="1" applyBorder="1" applyAlignment="1">
      <alignment horizontal="center" vertical="center"/>
    </xf>
    <xf numFmtId="168" fontId="2" fillId="0" borderId="5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11" fontId="2" fillId="0" borderId="4" xfId="0" applyNumberFormat="1" applyFont="1" applyBorder="1" applyAlignment="1">
      <alignment horizontal="center" vertical="center"/>
    </xf>
    <xf numFmtId="11" fontId="2" fillId="0" borderId="5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6" borderId="4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 vertical="center"/>
    </xf>
    <xf numFmtId="0" fontId="3" fillId="0" borderId="6" xfId="0" applyFont="1" applyBorder="1"/>
    <xf numFmtId="1" fontId="10" fillId="4" borderId="4" xfId="0" applyNumberFormat="1" applyFont="1" applyFill="1" applyBorder="1" applyAlignment="1">
      <alignment horizontal="center" vertical="center"/>
    </xf>
    <xf numFmtId="1" fontId="10" fillId="4" borderId="5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5" fontId="10" fillId="0" borderId="4" xfId="0" applyNumberFormat="1" applyFont="1" applyBorder="1" applyAlignment="1">
      <alignment horizontal="center" vertical="center"/>
    </xf>
    <xf numFmtId="165" fontId="10" fillId="0" borderId="5" xfId="0" applyNumberFormat="1" applyFont="1" applyBorder="1" applyAlignment="1">
      <alignment horizontal="center" vertical="center"/>
    </xf>
    <xf numFmtId="1" fontId="10" fillId="6" borderId="4" xfId="0" applyNumberFormat="1" applyFont="1" applyFill="1" applyBorder="1" applyAlignment="1">
      <alignment horizontal="center" vertical="center"/>
    </xf>
    <xf numFmtId="1" fontId="10" fillId="6" borderId="5" xfId="0" applyNumberFormat="1" applyFont="1" applyFill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168" fontId="13" fillId="5" borderId="10" xfId="0" applyNumberFormat="1" applyFont="1" applyFill="1" applyBorder="1" applyAlignment="1">
      <alignment horizontal="center" vertical="center"/>
    </xf>
    <xf numFmtId="168" fontId="13" fillId="5" borderId="6" xfId="0" applyNumberFormat="1" applyFont="1" applyFill="1" applyBorder="1" applyAlignment="1">
      <alignment horizontal="center" vertical="center"/>
    </xf>
    <xf numFmtId="168" fontId="13" fillId="5" borderId="11" xfId="0" applyNumberFormat="1" applyFont="1" applyFill="1" applyBorder="1" applyAlignment="1">
      <alignment horizontal="center" vertical="center"/>
    </xf>
    <xf numFmtId="168" fontId="10" fillId="0" borderId="2" xfId="0" applyNumberFormat="1" applyFont="1" applyBorder="1" applyAlignment="1">
      <alignment horizontal="center" vertical="center"/>
    </xf>
    <xf numFmtId="168" fontId="10" fillId="0" borderId="3" xfId="0" applyNumberFormat="1" applyFont="1" applyBorder="1" applyAlignment="1">
      <alignment horizontal="center" vertical="center"/>
    </xf>
    <xf numFmtId="168" fontId="10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E2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EFD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r>
              <a:rPr lang="es-MX"/>
              <a:t>Perfil Térmico - Ollas GUE - RHIM - Estacionario Olla Llena</a:t>
            </a:r>
          </a:p>
        </c:rich>
      </c:tx>
      <c:layout>
        <c:manualLayout>
          <c:xMode val="edge"/>
          <c:yMode val="edge"/>
          <c:x val="0.24381565251466428"/>
          <c:y val="2.8605871358549202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330555530033659"/>
          <c:y val="9.4640943918251813E-2"/>
          <c:w val="0.84913630836985521"/>
          <c:h val="0.76347084417315181"/>
        </c:manualLayout>
      </c:layout>
      <c:scatterChart>
        <c:scatterStyle val="lineMarker"/>
        <c:varyColors val="1"/>
        <c:ser>
          <c:idx val="0"/>
          <c:order val="0"/>
          <c:tx>
            <c:strRef>
              <c:f>Estacionario!$D$42</c:f>
              <c:strCache>
                <c:ptCount val="1"/>
                <c:pt idx="0">
                  <c:v>T (°C)</c:v>
                </c:pt>
              </c:strCache>
            </c:strRef>
          </c:tx>
          <c:spPr>
            <a:ln w="25400">
              <a:solidFill>
                <a:srgbClr val="333333"/>
              </a:solidFill>
              <a:prstDash val="solid"/>
            </a:ln>
          </c:spPr>
          <c:marker>
            <c:symbol val="circle"/>
            <c:size val="5"/>
          </c:marker>
          <c:dPt>
            <c:idx val="0"/>
            <c:marker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2700">
                <a:solidFill>
                  <a:srgbClr val="3366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F5-405E-9E33-9AEFAA113F4E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12700">
                <a:solidFill>
                  <a:srgbClr val="9933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F5-405E-9E33-9AEFAA113F4E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2700">
                <a:solidFill>
                  <a:srgbClr val="99CC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4F5-405E-9E33-9AEFAA113F4E}"/>
              </c:ext>
            </c:extLst>
          </c:dPt>
          <c:dPt>
            <c:idx val="3"/>
            <c:marker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12700">
                <a:solidFill>
                  <a:srgbClr val="993366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4F5-405E-9E33-9AEFAA113F4E}"/>
              </c:ext>
            </c:extLst>
          </c:dPt>
          <c:dPt>
            <c:idx val="4"/>
            <c:marker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12700">
                <a:solidFill>
                  <a:srgbClr val="33CCCC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4F5-405E-9E33-9AEFAA113F4E}"/>
              </c:ext>
            </c:extLst>
          </c:dPt>
          <c:dPt>
            <c:idx val="5"/>
            <c:marker>
              <c:spPr>
                <a:solidFill>
                  <a:schemeClr val="accent6"/>
                </a:solidFill>
                <a:ln w="9525">
                  <a:solidFill>
                    <a:schemeClr val="accent6"/>
                  </a:solidFill>
                </a:ln>
                <a:effectLst/>
              </c:spPr>
            </c:marker>
            <c:bubble3D val="0"/>
            <c:spPr>
              <a:ln w="12700">
                <a:solidFill>
                  <a:srgbClr val="FF808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4F5-405E-9E33-9AEFAA113F4E}"/>
              </c:ext>
            </c:extLst>
          </c:dPt>
          <c:dLbls>
            <c:dLbl>
              <c:idx val="0"/>
              <c:layout>
                <c:manualLayout>
                  <c:x val="1.9369282456962425E-3"/>
                  <c:y val="2.5759538101727097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MX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F5-405E-9E33-9AEFAA113F4E}"/>
                </c:ext>
              </c:extLst>
            </c:dLbl>
            <c:dLbl>
              <c:idx val="1"/>
              <c:layout>
                <c:manualLayout>
                  <c:x val="-2.7305163283994401E-3"/>
                  <c:y val="2.76665953397225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MX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4F5-405E-9E33-9AEFAA113F4E}"/>
                </c:ext>
              </c:extLst>
            </c:dLbl>
            <c:dLbl>
              <c:idx val="2"/>
              <c:layout>
                <c:manualLayout>
                  <c:x val="-5.4072406643451976E-2"/>
                  <c:y val="-2.382395008615544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MX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4F5-405E-9E33-9AEFAA113F4E}"/>
                </c:ext>
              </c:extLst>
            </c:dLbl>
            <c:dLbl>
              <c:idx val="3"/>
              <c:layout>
                <c:manualLayout>
                  <c:x val="-6.5398738809924195E-2"/>
                  <c:y val="-1.61957211341735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MX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4F5-405E-9E33-9AEFAA113F4E}"/>
                </c:ext>
              </c:extLst>
            </c:dLbl>
            <c:dLbl>
              <c:idx val="4"/>
              <c:layout>
                <c:manualLayout>
                  <c:x val="-6.8510368525987977E-2"/>
                  <c:y val="-1.810277837216897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MX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4F5-405E-9E33-9AEFAA113F4E}"/>
                </c:ext>
              </c:extLst>
            </c:dLbl>
            <c:dLbl>
              <c:idx val="5"/>
              <c:layout>
                <c:manualLayout>
                  <c:x val="1.2392004091670572E-2"/>
                  <c:y val="-2.8463204682050761E-3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333333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s-MX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4F5-405E-9E33-9AEFAA113F4E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Estacionario!$C$43:$C$48</c:f>
              <c:numCache>
                <c:formatCode>0.0000</c:formatCode>
                <c:ptCount val="6"/>
                <c:pt idx="0" formatCode="General">
                  <c:v>0</c:v>
                </c:pt>
                <c:pt idx="1">
                  <c:v>3.5000000000000003E-2</c:v>
                </c:pt>
                <c:pt idx="2">
                  <c:v>4.8000000000000001E-2</c:v>
                </c:pt>
                <c:pt idx="3">
                  <c:v>0.124</c:v>
                </c:pt>
                <c:pt idx="4">
                  <c:v>0.13700000000000001</c:v>
                </c:pt>
                <c:pt idx="5">
                  <c:v>0.26400000000000001</c:v>
                </c:pt>
              </c:numCache>
            </c:numRef>
          </c:xVal>
          <c:yVal>
            <c:numRef>
              <c:f>Estacionario!$D$43:$D$48</c:f>
              <c:numCache>
                <c:formatCode>0.0</c:formatCode>
                <c:ptCount val="6"/>
                <c:pt idx="0">
                  <c:v>363.35866278368445</c:v>
                </c:pt>
                <c:pt idx="1">
                  <c:v>374.16373926462194</c:v>
                </c:pt>
                <c:pt idx="2">
                  <c:v>820.36484770680556</c:v>
                </c:pt>
                <c:pt idx="3">
                  <c:v>1265.6488608642117</c:v>
                </c:pt>
                <c:pt idx="4">
                  <c:v>1353.8966948172595</c:v>
                </c:pt>
                <c:pt idx="5">
                  <c:v>1550.1515408820601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4F5-405E-9E33-9AEFAA113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0095"/>
        <c:axId val="1"/>
      </c:scatterChart>
      <c:valAx>
        <c:axId val="13830095"/>
        <c:scaling>
          <c:orientation val="minMax"/>
          <c:min val="0"/>
        </c:scaling>
        <c:delete val="0"/>
        <c:axPos val="b"/>
        <c:majorGridlines>
          <c:spPr>
            <a:ln w="3175">
              <a:solidFill>
                <a:srgbClr val="BFBFB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MX"/>
                  <a:t>Espesor desde la coraza (m)</a:t>
                </a:r>
              </a:p>
            </c:rich>
          </c:tx>
          <c:layout>
            <c:manualLayout>
              <c:xMode val="edge"/>
              <c:yMode val="edge"/>
              <c:x val="0.45031238902291182"/>
              <c:y val="0.91188743685399676"/>
            </c:manualLayout>
          </c:layout>
          <c:overlay val="1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BFBFBF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es-MX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800"/>
          <c:min val="0"/>
        </c:scaling>
        <c:delete val="0"/>
        <c:axPos val="l"/>
        <c:majorGridlines>
          <c:spPr>
            <a:ln w="3175">
              <a:solidFill>
                <a:srgbClr val="BFBFB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es-MX" sz="1000" b="0" i="0" u="none" strike="noStrike" baseline="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Temperatura (</a:t>
                </a:r>
                <a:r>
                  <a:rPr lang="es-MX" sz="1000" b="0" i="0" u="none" strike="noStrike" baseline="0">
                    <a:solidFill>
                      <a:srgbClr val="595959"/>
                    </a:solidFill>
                    <a:latin typeface="+mn-ea"/>
                    <a:ea typeface="+mn-ea"/>
                    <a:cs typeface="+mn-ea"/>
                  </a:rPr>
                  <a:t>°</a:t>
                </a:r>
                <a:r>
                  <a:rPr lang="es-MX" sz="1000" b="0" i="0" u="none" strike="noStrike" baseline="0">
                    <a:solidFill>
                      <a:srgbClr val="595959"/>
                    </a:solidFill>
                    <a:latin typeface="Calibri"/>
                    <a:ea typeface="Calibri"/>
                    <a:cs typeface="Calibri"/>
                  </a:rPr>
                  <a:t>C)</a:t>
                </a:r>
              </a:p>
            </c:rich>
          </c:tx>
          <c:layout>
            <c:manualLayout>
              <c:xMode val="edge"/>
              <c:yMode val="edge"/>
              <c:x val="2.0428601168244329E-2"/>
              <c:y val="0.42272610585259301"/>
            </c:manualLayout>
          </c:layout>
          <c:overlay val="1"/>
          <c:spPr>
            <a:noFill/>
            <a:ln w="2540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3175">
            <a:solidFill>
              <a:srgbClr val="BFBFBF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595959"/>
                </a:solidFill>
                <a:latin typeface="Calibri"/>
                <a:ea typeface="Calibri"/>
                <a:cs typeface="Calibri"/>
              </a:defRPr>
            </a:pPr>
            <a:endParaRPr lang="es-MX"/>
          </a:p>
        </c:txPr>
        <c:crossAx val="13830095"/>
        <c:crosses val="autoZero"/>
        <c:crossBetween val="midCat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595959"/>
              </a:solidFill>
              <a:latin typeface="Calibri"/>
              <a:ea typeface="Calibri"/>
              <a:cs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3175">
      <a:solidFill>
        <a:srgbClr val="BFBFBF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333333"/>
          </a:solidFill>
          <a:latin typeface="Calibri"/>
          <a:ea typeface="Calibri"/>
          <a:cs typeface="Calibri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838200</xdr:colOff>
      <xdr:row>2</xdr:row>
      <xdr:rowOff>95250</xdr:rowOff>
    </xdr:from>
    <xdr:to>
      <xdr:col>19</xdr:col>
      <xdr:colOff>19050</xdr:colOff>
      <xdr:row>34</xdr:row>
      <xdr:rowOff>44450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CE0EF145-0F29-2BC9-9F89-9FBCDE69C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295274</xdr:colOff>
      <xdr:row>9</xdr:row>
      <xdr:rowOff>104774</xdr:rowOff>
    </xdr:from>
    <xdr:to>
      <xdr:col>15</xdr:col>
      <xdr:colOff>342899</xdr:colOff>
      <xdr:row>10</xdr:row>
      <xdr:rowOff>171449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0959FD5-797A-68D4-B389-9A3DCC2A059B}"/>
            </a:ext>
          </a:extLst>
        </xdr:cNvPr>
        <xdr:cNvSpPr txBox="1"/>
      </xdr:nvSpPr>
      <xdr:spPr>
        <a:xfrm rot="20918002">
          <a:off x="14125574" y="1828799"/>
          <a:ext cx="1247775" cy="257175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chemeClr val="accent6">
                  <a:lumMod val="50000"/>
                </a:schemeClr>
              </a:solidFill>
            </a:rPr>
            <a:t>Ladrillo de Trabajo</a:t>
          </a:r>
        </a:p>
      </xdr:txBody>
    </xdr:sp>
    <xdr:clientData/>
  </xdr:twoCellAnchor>
  <xdr:twoCellAnchor>
    <xdr:from>
      <xdr:col>12</xdr:col>
      <xdr:colOff>158750</xdr:colOff>
      <xdr:row>12</xdr:row>
      <xdr:rowOff>130175</xdr:rowOff>
    </xdr:from>
    <xdr:to>
      <xdr:col>14</xdr:col>
      <xdr:colOff>196850</xdr:colOff>
      <xdr:row>13</xdr:row>
      <xdr:rowOff>187325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8C3F30-C373-81C9-6EB1-365CACFC17B5}"/>
            </a:ext>
          </a:extLst>
        </xdr:cNvPr>
        <xdr:cNvSpPr txBox="1"/>
      </xdr:nvSpPr>
      <xdr:spPr>
        <a:xfrm>
          <a:off x="13388975" y="2416175"/>
          <a:ext cx="12382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>
              <a:solidFill>
                <a:srgbClr val="0070C0"/>
              </a:solidFill>
            </a:rPr>
            <a:t>Backfill</a:t>
          </a:r>
        </a:p>
      </xdr:txBody>
    </xdr:sp>
    <xdr:clientData/>
  </xdr:twoCellAnchor>
  <xdr:twoCellAnchor>
    <xdr:from>
      <xdr:col>9</xdr:col>
      <xdr:colOff>876301</xdr:colOff>
      <xdr:row>14</xdr:row>
      <xdr:rowOff>180974</xdr:rowOff>
    </xdr:from>
    <xdr:to>
      <xdr:col>11</xdr:col>
      <xdr:colOff>390526</xdr:colOff>
      <xdr:row>16</xdr:row>
      <xdr:rowOff>47624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EF8BBDB-99F7-DF4E-4B6C-D9380CD01CE0}"/>
            </a:ext>
          </a:extLst>
        </xdr:cNvPr>
        <xdr:cNvSpPr txBox="1"/>
      </xdr:nvSpPr>
      <xdr:spPr>
        <a:xfrm rot="19449947">
          <a:off x="11487151" y="2990849"/>
          <a:ext cx="1533525" cy="2476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rgbClr val="7030A0"/>
              </a:solidFill>
            </a:rPr>
            <a:t>Ladrillo de Seguridad</a:t>
          </a:r>
        </a:p>
      </xdr:txBody>
    </xdr:sp>
    <xdr:clientData/>
  </xdr:twoCellAnchor>
  <xdr:twoCellAnchor>
    <xdr:from>
      <xdr:col>9</xdr:col>
      <xdr:colOff>574521</xdr:colOff>
      <xdr:row>22</xdr:row>
      <xdr:rowOff>180342</xdr:rowOff>
    </xdr:from>
    <xdr:to>
      <xdr:col>10</xdr:col>
      <xdr:colOff>503485</xdr:colOff>
      <xdr:row>24</xdr:row>
      <xdr:rowOff>46992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936A0F3-6445-7C09-CDFB-83A57CAAC0E3}"/>
            </a:ext>
          </a:extLst>
        </xdr:cNvPr>
        <xdr:cNvSpPr txBox="1"/>
      </xdr:nvSpPr>
      <xdr:spPr>
        <a:xfrm>
          <a:off x="11185371" y="4552317"/>
          <a:ext cx="83383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chemeClr val="accent3">
                  <a:lumMod val="75000"/>
                </a:schemeClr>
              </a:solidFill>
            </a:rPr>
            <a:t>Aislante</a:t>
          </a:r>
        </a:p>
      </xdr:txBody>
    </xdr:sp>
    <xdr:clientData/>
  </xdr:twoCellAnchor>
  <xdr:twoCellAnchor>
    <xdr:from>
      <xdr:col>8</xdr:col>
      <xdr:colOff>1822296</xdr:colOff>
      <xdr:row>24</xdr:row>
      <xdr:rowOff>126367</xdr:rowOff>
    </xdr:from>
    <xdr:to>
      <xdr:col>9</xdr:col>
      <xdr:colOff>560635</xdr:colOff>
      <xdr:row>25</xdr:row>
      <xdr:rowOff>183517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A12053-FD8A-E0E4-774C-61E3585FAABD}"/>
            </a:ext>
          </a:extLst>
        </xdr:cNvPr>
        <xdr:cNvSpPr txBox="1"/>
      </xdr:nvSpPr>
      <xdr:spPr>
        <a:xfrm>
          <a:off x="10337646" y="4879342"/>
          <a:ext cx="83383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solidFill>
                <a:srgbClr val="C00000"/>
              </a:solidFill>
            </a:rPr>
            <a:t>Coraza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os%20TX%20GUE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ituyentes"/>
      <sheetName val="CQ's"/>
      <sheetName val="Cp - Constituyentes"/>
      <sheetName val="Cp - Capas"/>
      <sheetName val="Propiedades - Capas"/>
      <sheetName val="ESTACIONARIO"/>
      <sheetName val="07_Enfriamiento"/>
    </sheetNames>
    <sheetDataSet>
      <sheetData sheetId="0"/>
      <sheetData sheetId="1"/>
      <sheetData sheetId="2"/>
      <sheetData sheetId="3">
        <row r="20">
          <cell r="C20">
            <v>1406.1826225142274</v>
          </cell>
          <cell r="D20">
            <v>1293.070593655495</v>
          </cell>
          <cell r="E20">
            <v>1281.8258909771171</v>
          </cell>
          <cell r="F20">
            <v>1245.2802481516869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51BB-843B-4565-81EE-D1461C34F85E}">
  <dimension ref="B2:K18"/>
  <sheetViews>
    <sheetView showGridLines="0" zoomScaleNormal="100" workbookViewId="0">
      <selection activeCell="I15" sqref="I15"/>
    </sheetView>
  </sheetViews>
  <sheetFormatPr baseColWidth="10" defaultColWidth="8.6328125" defaultRowHeight="14.5" x14ac:dyDescent="0.35"/>
  <cols>
    <col min="2" max="2" width="22" customWidth="1"/>
    <col min="3" max="3" width="12" customWidth="1"/>
    <col min="4" max="4" width="10" customWidth="1"/>
    <col min="5" max="5" width="11" customWidth="1"/>
    <col min="6" max="6" width="12" customWidth="1"/>
    <col min="7" max="7" width="13" customWidth="1"/>
    <col min="8" max="9" width="10" customWidth="1"/>
    <col min="10" max="10" width="14" customWidth="1"/>
    <col min="11" max="11" width="34.26953125" customWidth="1"/>
  </cols>
  <sheetData>
    <row r="2" spans="2:11" ht="17.399999999999999" customHeight="1" x14ac:dyDescent="0.4">
      <c r="B2" s="84" t="s">
        <v>210</v>
      </c>
      <c r="C2" s="84"/>
      <c r="D2" s="84"/>
      <c r="E2" s="84"/>
      <c r="F2" s="84"/>
      <c r="G2" s="84"/>
      <c r="H2" s="84"/>
      <c r="I2" s="84"/>
      <c r="J2" s="84"/>
      <c r="K2" s="84"/>
    </row>
    <row r="3" spans="2:11" ht="15" customHeight="1" x14ac:dyDescent="0.35">
      <c r="B3" s="87" t="s">
        <v>211</v>
      </c>
      <c r="C3" s="87"/>
      <c r="D3" s="87"/>
      <c r="E3" s="87"/>
      <c r="F3" s="87"/>
      <c r="G3" s="87"/>
      <c r="H3" s="87"/>
      <c r="I3" s="87"/>
      <c r="J3" s="87"/>
      <c r="K3" s="87"/>
    </row>
    <row r="4" spans="2:11" ht="26.9" customHeight="1" x14ac:dyDescent="0.35"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</row>
    <row r="5" spans="2:11" ht="15" customHeight="1" x14ac:dyDescent="0.35">
      <c r="B5" s="5" t="s">
        <v>10</v>
      </c>
      <c r="C5" s="33">
        <v>4.0300000000000002E-2</v>
      </c>
      <c r="D5" s="34">
        <v>2</v>
      </c>
      <c r="E5" s="35">
        <v>48.98</v>
      </c>
      <c r="F5" s="36">
        <v>3.14E-3</v>
      </c>
      <c r="G5" s="36">
        <v>-1134000</v>
      </c>
      <c r="H5" s="34">
        <v>298</v>
      </c>
      <c r="I5" s="34">
        <v>3098</v>
      </c>
      <c r="J5" s="7">
        <f t="shared" ref="J5:J14" si="0">3*8.3145*D5/C5</f>
        <v>1237.8908188585608</v>
      </c>
      <c r="K5" s="8" t="s">
        <v>11</v>
      </c>
    </row>
    <row r="6" spans="2:11" ht="15" customHeight="1" x14ac:dyDescent="0.35">
      <c r="B6" s="5" t="s">
        <v>12</v>
      </c>
      <c r="C6" s="33">
        <v>0.101961</v>
      </c>
      <c r="D6" s="34">
        <v>5</v>
      </c>
      <c r="E6" s="35">
        <v>117.49</v>
      </c>
      <c r="F6" s="36">
        <v>1.038E-2</v>
      </c>
      <c r="G6" s="36">
        <v>-3711000</v>
      </c>
      <c r="H6" s="34">
        <v>298</v>
      </c>
      <c r="I6" s="34">
        <v>2327</v>
      </c>
      <c r="J6" s="7">
        <f t="shared" si="0"/>
        <v>1223.1882778709507</v>
      </c>
      <c r="K6" s="8" t="s">
        <v>13</v>
      </c>
    </row>
    <row r="7" spans="2:11" ht="15" customHeight="1" x14ac:dyDescent="0.35">
      <c r="B7" s="5" t="s">
        <v>14</v>
      </c>
      <c r="C7" s="33">
        <v>6.0082999999999998E-2</v>
      </c>
      <c r="D7" s="34">
        <v>3</v>
      </c>
      <c r="E7" s="35">
        <v>46.94</v>
      </c>
      <c r="F7" s="36">
        <v>3.431E-2</v>
      </c>
      <c r="G7" s="36">
        <v>-1130000</v>
      </c>
      <c r="H7" s="34">
        <v>298</v>
      </c>
      <c r="I7" s="34">
        <v>847</v>
      </c>
      <c r="J7" s="7">
        <f t="shared" si="0"/>
        <v>1245.452124561024</v>
      </c>
      <c r="K7" s="8" t="s">
        <v>15</v>
      </c>
    </row>
    <row r="8" spans="2:11" ht="15" customHeight="1" x14ac:dyDescent="0.35">
      <c r="B8" s="5" t="s">
        <v>16</v>
      </c>
      <c r="C8" s="33">
        <v>6.0082999999999998E-2</v>
      </c>
      <c r="D8" s="34">
        <v>3</v>
      </c>
      <c r="E8" s="35">
        <v>60.29</v>
      </c>
      <c r="F8" s="36">
        <v>8.1200000000000005E-3</v>
      </c>
      <c r="G8" s="36">
        <v>0</v>
      </c>
      <c r="H8" s="34">
        <v>847</v>
      </c>
      <c r="I8" s="34">
        <v>1696</v>
      </c>
      <c r="J8" s="7">
        <f t="shared" si="0"/>
        <v>1245.452124561024</v>
      </c>
      <c r="K8" s="8" t="s">
        <v>17</v>
      </c>
    </row>
    <row r="9" spans="2:11" ht="15" customHeight="1" x14ac:dyDescent="0.35">
      <c r="B9" s="5" t="s">
        <v>18</v>
      </c>
      <c r="C9" s="33">
        <v>5.6077000000000002E-2</v>
      </c>
      <c r="D9" s="34">
        <v>2</v>
      </c>
      <c r="E9" s="35">
        <v>48.83</v>
      </c>
      <c r="F9" s="36">
        <v>4.5199999999999997E-3</v>
      </c>
      <c r="G9" s="36">
        <v>-653000</v>
      </c>
      <c r="H9" s="34">
        <v>298</v>
      </c>
      <c r="I9" s="34">
        <v>2888</v>
      </c>
      <c r="J9" s="7">
        <f t="shared" si="0"/>
        <v>889.61606362679879</v>
      </c>
      <c r="K9" s="8" t="s">
        <v>19</v>
      </c>
    </row>
    <row r="10" spans="2:11" ht="15" customHeight="1" x14ac:dyDescent="0.35">
      <c r="B10" s="5" t="s">
        <v>20</v>
      </c>
      <c r="C10" s="33">
        <v>0.159688</v>
      </c>
      <c r="D10" s="34">
        <v>5</v>
      </c>
      <c r="E10" s="35">
        <v>98.28</v>
      </c>
      <c r="F10" s="36">
        <v>7.782E-2</v>
      </c>
      <c r="G10" s="36">
        <v>-1485000</v>
      </c>
      <c r="H10" s="34">
        <v>298</v>
      </c>
      <c r="I10" s="34">
        <v>950</v>
      </c>
      <c r="J10" s="7">
        <f t="shared" si="0"/>
        <v>781.0073393116578</v>
      </c>
      <c r="K10" s="8" t="s">
        <v>21</v>
      </c>
    </row>
    <row r="11" spans="2:11" ht="15" customHeight="1" x14ac:dyDescent="0.35">
      <c r="B11" s="5" t="s">
        <v>22</v>
      </c>
      <c r="C11" s="33">
        <v>7.9866000000000006E-2</v>
      </c>
      <c r="D11" s="34">
        <v>3</v>
      </c>
      <c r="E11" s="35">
        <v>75.19</v>
      </c>
      <c r="F11" s="36">
        <v>1.17E-3</v>
      </c>
      <c r="G11" s="36">
        <v>-1820000</v>
      </c>
      <c r="H11" s="34">
        <v>298</v>
      </c>
      <c r="I11" s="34">
        <v>2000</v>
      </c>
      <c r="J11" s="7">
        <f t="shared" si="0"/>
        <v>936.95064232589584</v>
      </c>
      <c r="K11" s="8" t="s">
        <v>23</v>
      </c>
    </row>
    <row r="12" spans="2:11" ht="15" customHeight="1" x14ac:dyDescent="0.35">
      <c r="B12" s="5" t="s">
        <v>24</v>
      </c>
      <c r="C12" s="33">
        <v>6.1978999999999999E-2</v>
      </c>
      <c r="D12" s="34">
        <v>3</v>
      </c>
      <c r="E12" s="35">
        <v>66</v>
      </c>
      <c r="F12" s="36">
        <v>1.6E-2</v>
      </c>
      <c r="G12" s="36">
        <v>-600000</v>
      </c>
      <c r="H12" s="34">
        <v>298</v>
      </c>
      <c r="I12" s="34">
        <v>1400</v>
      </c>
      <c r="J12" s="7">
        <f t="shared" si="0"/>
        <v>1207.3524903596381</v>
      </c>
      <c r="K12" s="8" t="s">
        <v>25</v>
      </c>
    </row>
    <row r="13" spans="2:11" ht="15" customHeight="1" x14ac:dyDescent="0.35">
      <c r="B13" s="5" t="s">
        <v>26</v>
      </c>
      <c r="C13" s="33">
        <v>9.4196000000000002E-2</v>
      </c>
      <c r="D13" s="34">
        <v>3</v>
      </c>
      <c r="E13" s="35">
        <v>68.5</v>
      </c>
      <c r="F13" s="36">
        <v>0.02</v>
      </c>
      <c r="G13" s="36">
        <v>-400000</v>
      </c>
      <c r="H13" s="34">
        <v>298</v>
      </c>
      <c r="I13" s="34">
        <v>1400</v>
      </c>
      <c r="J13" s="7">
        <f t="shared" si="0"/>
        <v>794.41271391566522</v>
      </c>
      <c r="K13" s="8" t="s">
        <v>25</v>
      </c>
    </row>
    <row r="14" spans="2:11" ht="15" customHeight="1" x14ac:dyDescent="0.35">
      <c r="B14" s="5" t="s">
        <v>27</v>
      </c>
      <c r="C14" s="33">
        <v>1.2011000000000001E-2</v>
      </c>
      <c r="D14" s="34">
        <v>1</v>
      </c>
      <c r="E14" s="35">
        <v>17.149999999999999</v>
      </c>
      <c r="F14" s="36">
        <v>4.2700000000000004E-3</v>
      </c>
      <c r="G14" s="36">
        <v>-879000</v>
      </c>
      <c r="H14" s="34">
        <v>298</v>
      </c>
      <c r="I14" s="34">
        <v>2500</v>
      </c>
      <c r="J14" s="7">
        <f t="shared" si="0"/>
        <v>2076.7213387727916</v>
      </c>
      <c r="K14" s="8" t="s">
        <v>28</v>
      </c>
    </row>
    <row r="16" spans="2:11" ht="15" customHeight="1" x14ac:dyDescent="0.35">
      <c r="B16" s="2" t="s">
        <v>29</v>
      </c>
    </row>
    <row r="17" spans="2:2" ht="15" customHeight="1" x14ac:dyDescent="0.35">
      <c r="B17" s="2" t="s">
        <v>30</v>
      </c>
    </row>
    <row r="18" spans="2:2" ht="15" customHeight="1" x14ac:dyDescent="0.35">
      <c r="B18" s="2" t="s">
        <v>31</v>
      </c>
    </row>
  </sheetData>
  <mergeCells count="2">
    <mergeCell ref="B2:K2"/>
    <mergeCell ref="B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9A60-232D-47BC-AC4E-5D45676C3982}">
  <dimension ref="B2:M18"/>
  <sheetViews>
    <sheetView showGridLines="0" zoomScaleNormal="100" workbookViewId="0">
      <selection activeCell="C6" sqref="C6:C9"/>
    </sheetView>
  </sheetViews>
  <sheetFormatPr baseColWidth="10" defaultColWidth="8.6328125" defaultRowHeight="14.5" x14ac:dyDescent="0.35"/>
  <cols>
    <col min="2" max="2" width="8" customWidth="1"/>
    <col min="3" max="3" width="33.7265625" customWidth="1"/>
    <col min="4" max="11" width="9" customWidth="1"/>
    <col min="12" max="12" width="11" customWidth="1"/>
    <col min="13" max="13" width="10" customWidth="1"/>
  </cols>
  <sheetData>
    <row r="2" spans="2:13" ht="17.399999999999999" customHeight="1" x14ac:dyDescent="0.4">
      <c r="B2" s="1" t="s">
        <v>209</v>
      </c>
    </row>
    <row r="3" spans="2:13" ht="15" customHeight="1" x14ac:dyDescent="0.35">
      <c r="B3" s="2"/>
    </row>
    <row r="4" spans="2:13" ht="15" customHeight="1" x14ac:dyDescent="0.35">
      <c r="B4" s="3" t="s">
        <v>32</v>
      </c>
    </row>
    <row r="5" spans="2:13" ht="15" customHeight="1" x14ac:dyDescent="0.35">
      <c r="B5" s="4" t="s">
        <v>33</v>
      </c>
      <c r="C5" s="4" t="s">
        <v>34</v>
      </c>
      <c r="D5" s="4" t="s">
        <v>10</v>
      </c>
      <c r="E5" s="4" t="s">
        <v>12</v>
      </c>
      <c r="F5" s="4" t="s">
        <v>35</v>
      </c>
      <c r="G5" s="4" t="s">
        <v>18</v>
      </c>
      <c r="H5" s="4" t="s">
        <v>20</v>
      </c>
      <c r="I5" s="4" t="s">
        <v>22</v>
      </c>
      <c r="J5" s="4" t="s">
        <v>24</v>
      </c>
      <c r="K5" s="4" t="s">
        <v>26</v>
      </c>
      <c r="L5" s="4" t="s">
        <v>36</v>
      </c>
      <c r="M5" s="4" t="s">
        <v>37</v>
      </c>
    </row>
    <row r="6" spans="2:13" ht="15" customHeight="1" x14ac:dyDescent="0.35">
      <c r="B6" s="7">
        <v>1</v>
      </c>
      <c r="C6" s="5" t="s">
        <v>204</v>
      </c>
      <c r="D6" s="37">
        <v>96.4</v>
      </c>
      <c r="E6" s="37">
        <v>0.3</v>
      </c>
      <c r="F6" s="37">
        <v>0.8</v>
      </c>
      <c r="G6" s="37">
        <v>1.6</v>
      </c>
      <c r="H6" s="37">
        <v>0.7</v>
      </c>
      <c r="I6" s="37">
        <v>0</v>
      </c>
      <c r="J6" s="37">
        <v>0</v>
      </c>
      <c r="K6" s="37">
        <v>0</v>
      </c>
      <c r="L6" s="40">
        <f>SUM(D6:K6)</f>
        <v>99.8</v>
      </c>
      <c r="M6" s="37">
        <v>10</v>
      </c>
    </row>
    <row r="7" spans="2:13" ht="15" customHeight="1" x14ac:dyDescent="0.35">
      <c r="B7" s="7">
        <v>2</v>
      </c>
      <c r="C7" s="5" t="s">
        <v>205</v>
      </c>
      <c r="D7" s="37">
        <v>0</v>
      </c>
      <c r="E7" s="37">
        <v>79</v>
      </c>
      <c r="F7" s="37">
        <v>12.5</v>
      </c>
      <c r="G7" s="37">
        <v>0</v>
      </c>
      <c r="H7" s="37">
        <v>1.8</v>
      </c>
      <c r="I7" s="37">
        <v>3.2</v>
      </c>
      <c r="J7" s="37">
        <v>0</v>
      </c>
      <c r="K7" s="37">
        <v>0</v>
      </c>
      <c r="L7" s="40">
        <f>SUM(D7:K7)</f>
        <v>96.5</v>
      </c>
      <c r="M7" s="37">
        <v>0</v>
      </c>
    </row>
    <row r="8" spans="2:13" ht="15" customHeight="1" x14ac:dyDescent="0.35">
      <c r="B8" s="7">
        <v>3</v>
      </c>
      <c r="C8" s="5" t="s">
        <v>206</v>
      </c>
      <c r="D8" s="37">
        <v>0</v>
      </c>
      <c r="E8" s="37">
        <v>67</v>
      </c>
      <c r="F8" s="37">
        <v>28</v>
      </c>
      <c r="G8" s="37">
        <v>0</v>
      </c>
      <c r="H8" s="37">
        <v>1.7</v>
      </c>
      <c r="I8" s="37">
        <v>2.8</v>
      </c>
      <c r="J8" s="37">
        <v>0</v>
      </c>
      <c r="K8" s="37">
        <v>0</v>
      </c>
      <c r="L8" s="40">
        <f>SUM(D8:K8)</f>
        <v>99.5</v>
      </c>
      <c r="M8" s="37">
        <v>0</v>
      </c>
    </row>
    <row r="9" spans="2:13" ht="15" customHeight="1" x14ac:dyDescent="0.35">
      <c r="B9" s="7">
        <v>4</v>
      </c>
      <c r="C9" s="5" t="s">
        <v>207</v>
      </c>
      <c r="D9" s="37">
        <v>32.6</v>
      </c>
      <c r="E9" s="37">
        <v>4.3</v>
      </c>
      <c r="F9" s="37">
        <v>44</v>
      </c>
      <c r="G9" s="37">
        <v>1.4</v>
      </c>
      <c r="H9" s="37">
        <v>6.9</v>
      </c>
      <c r="I9" s="37">
        <v>0.4</v>
      </c>
      <c r="J9" s="37">
        <v>0.1</v>
      </c>
      <c r="K9" s="37">
        <v>6.1</v>
      </c>
      <c r="L9" s="40">
        <f>SUM(D9:K9)</f>
        <v>95.800000000000011</v>
      </c>
      <c r="M9" s="37">
        <v>0</v>
      </c>
    </row>
    <row r="11" spans="2:13" ht="15" customHeight="1" x14ac:dyDescent="0.35">
      <c r="B11" s="3" t="s">
        <v>208</v>
      </c>
    </row>
    <row r="12" spans="2:13" ht="26.9" customHeight="1" x14ac:dyDescent="0.35">
      <c r="B12" s="4" t="s">
        <v>33</v>
      </c>
      <c r="C12" s="4" t="s">
        <v>34</v>
      </c>
      <c r="D12" s="4" t="s">
        <v>10</v>
      </c>
      <c r="E12" s="4" t="s">
        <v>12</v>
      </c>
      <c r="F12" s="4" t="s">
        <v>35</v>
      </c>
      <c r="G12" s="4" t="s">
        <v>18</v>
      </c>
      <c r="H12" s="4" t="s">
        <v>20</v>
      </c>
      <c r="I12" s="4" t="s">
        <v>22</v>
      </c>
      <c r="J12" s="4" t="s">
        <v>24</v>
      </c>
      <c r="K12" s="4" t="s">
        <v>26</v>
      </c>
      <c r="L12" s="4" t="s">
        <v>38</v>
      </c>
      <c r="M12" s="4" t="s">
        <v>39</v>
      </c>
    </row>
    <row r="13" spans="2:13" ht="15" customHeight="1" x14ac:dyDescent="0.35">
      <c r="B13" s="7">
        <f t="shared" ref="B13:C16" si="0">B6</f>
        <v>1</v>
      </c>
      <c r="C13" s="5" t="str">
        <f t="shared" si="0"/>
        <v>Trabajo — ANCARBON C F5L10</v>
      </c>
      <c r="D13" s="38">
        <f t="shared" ref="D13:K16" si="1">IF($L6=0,0,D6/$L6*(1-$M6/100))</f>
        <v>0.86933867735470949</v>
      </c>
      <c r="E13" s="38">
        <f t="shared" si="1"/>
        <v>2.7054108216432865E-3</v>
      </c>
      <c r="F13" s="38">
        <f t="shared" si="1"/>
        <v>7.2144288577154318E-3</v>
      </c>
      <c r="G13" s="38">
        <f t="shared" si="1"/>
        <v>1.4428857715430864E-2</v>
      </c>
      <c r="H13" s="38">
        <f t="shared" si="1"/>
        <v>6.3126252505010024E-3</v>
      </c>
      <c r="I13" s="38">
        <f t="shared" si="1"/>
        <v>0</v>
      </c>
      <c r="J13" s="38">
        <f t="shared" si="1"/>
        <v>0</v>
      </c>
      <c r="K13" s="38">
        <f t="shared" si="1"/>
        <v>0</v>
      </c>
      <c r="L13" s="38">
        <f>M6/100</f>
        <v>0.1</v>
      </c>
      <c r="M13" s="39">
        <f>SUM(D13:L13)</f>
        <v>1.0000000000000002</v>
      </c>
    </row>
    <row r="14" spans="2:13" ht="15" customHeight="1" x14ac:dyDescent="0.35">
      <c r="B14" s="7">
        <f t="shared" si="0"/>
        <v>2</v>
      </c>
      <c r="C14" s="5" t="str">
        <f t="shared" si="0"/>
        <v>Junta de sello — COMPAC DRY B83P</v>
      </c>
      <c r="D14" s="38">
        <f t="shared" si="1"/>
        <v>0</v>
      </c>
      <c r="E14" s="38">
        <f t="shared" si="1"/>
        <v>0.81865284974093266</v>
      </c>
      <c r="F14" s="38">
        <f t="shared" si="1"/>
        <v>0.12953367875647667</v>
      </c>
      <c r="G14" s="38">
        <f t="shared" si="1"/>
        <v>0</v>
      </c>
      <c r="H14" s="38">
        <f t="shared" si="1"/>
        <v>1.8652849740932644E-2</v>
      </c>
      <c r="I14" s="38">
        <f t="shared" si="1"/>
        <v>3.316062176165803E-2</v>
      </c>
      <c r="J14" s="38">
        <f t="shared" si="1"/>
        <v>0</v>
      </c>
      <c r="K14" s="38">
        <f t="shared" si="1"/>
        <v>0</v>
      </c>
      <c r="L14" s="38">
        <f>M7/100</f>
        <v>0</v>
      </c>
      <c r="M14" s="39">
        <f>SUM(D14:L14)</f>
        <v>1</v>
      </c>
    </row>
    <row r="15" spans="2:13" ht="15" customHeight="1" x14ac:dyDescent="0.35">
      <c r="B15" s="7">
        <f t="shared" si="0"/>
        <v>3</v>
      </c>
      <c r="C15" s="5" t="str">
        <f t="shared" si="0"/>
        <v>Seguridad — RESISTAL B65</v>
      </c>
      <c r="D15" s="38">
        <f t="shared" si="1"/>
        <v>0</v>
      </c>
      <c r="E15" s="38">
        <f t="shared" si="1"/>
        <v>0.6733668341708543</v>
      </c>
      <c r="F15" s="38">
        <f t="shared" si="1"/>
        <v>0.28140703517587939</v>
      </c>
      <c r="G15" s="38">
        <f t="shared" si="1"/>
        <v>0</v>
      </c>
      <c r="H15" s="38">
        <f t="shared" si="1"/>
        <v>1.7085427135678392E-2</v>
      </c>
      <c r="I15" s="38">
        <f t="shared" si="1"/>
        <v>2.8140703517587937E-2</v>
      </c>
      <c r="J15" s="38">
        <f t="shared" si="1"/>
        <v>0</v>
      </c>
      <c r="K15" s="38">
        <f t="shared" si="1"/>
        <v>0</v>
      </c>
      <c r="L15" s="38">
        <f>M8/100</f>
        <v>0</v>
      </c>
      <c r="M15" s="39">
        <f>SUM(D15:L15)</f>
        <v>1</v>
      </c>
    </row>
    <row r="16" spans="2:13" ht="15" customHeight="1" x14ac:dyDescent="0.35">
      <c r="B16" s="7">
        <f t="shared" si="0"/>
        <v>4</v>
      </c>
      <c r="C16" s="5" t="str">
        <f t="shared" si="0"/>
        <v>Aislante — SKAMOL VIP 12 HT</v>
      </c>
      <c r="D16" s="38">
        <f t="shared" si="1"/>
        <v>0.34029227557411273</v>
      </c>
      <c r="E16" s="38">
        <f t="shared" si="1"/>
        <v>4.4885177453027135E-2</v>
      </c>
      <c r="F16" s="38">
        <f t="shared" si="1"/>
        <v>0.45929018789144044</v>
      </c>
      <c r="G16" s="38">
        <f t="shared" si="1"/>
        <v>1.4613778705636741E-2</v>
      </c>
      <c r="H16" s="38">
        <f t="shared" si="1"/>
        <v>7.2025052192066799E-2</v>
      </c>
      <c r="I16" s="38">
        <f t="shared" si="1"/>
        <v>4.1753653444676405E-3</v>
      </c>
      <c r="J16" s="38">
        <f t="shared" si="1"/>
        <v>1.0438413361169101E-3</v>
      </c>
      <c r="K16" s="38">
        <f t="shared" si="1"/>
        <v>6.3674321503131515E-2</v>
      </c>
      <c r="L16" s="38">
        <f>M9/100</f>
        <v>0</v>
      </c>
      <c r="M16" s="39">
        <f>SUM(D16:L16)</f>
        <v>0.99999999999999978</v>
      </c>
    </row>
    <row r="17" spans="2:2" ht="15" customHeight="1" x14ac:dyDescent="0.35">
      <c r="B17" s="2" t="s">
        <v>40</v>
      </c>
    </row>
    <row r="18" spans="2:2" ht="15" customHeight="1" x14ac:dyDescent="0.35">
      <c r="B18" s="2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2FEB-B84E-4770-969C-D5AB05AB79D1}">
  <dimension ref="B2:L25"/>
  <sheetViews>
    <sheetView showGridLines="0" topLeftCell="A3" zoomScaleNormal="100" workbookViewId="0">
      <selection activeCell="B25" sqref="B25"/>
    </sheetView>
  </sheetViews>
  <sheetFormatPr baseColWidth="10" defaultColWidth="8.6328125" defaultRowHeight="14.5" x14ac:dyDescent="0.35"/>
  <cols>
    <col min="2" max="2" width="12.7265625" customWidth="1"/>
    <col min="3" max="3" width="11.81640625" customWidth="1"/>
    <col min="4" max="11" width="11" customWidth="1"/>
    <col min="12" max="12" width="12" customWidth="1"/>
  </cols>
  <sheetData>
    <row r="2" spans="2:12" ht="17.399999999999999" customHeight="1" x14ac:dyDescent="0.4">
      <c r="B2" s="84" t="s">
        <v>212</v>
      </c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2:12" ht="15" customHeight="1" x14ac:dyDescent="0.35">
      <c r="B3" s="87" t="s">
        <v>213</v>
      </c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2:12" ht="15" customHeight="1" x14ac:dyDescent="0.35">
      <c r="B4" s="4" t="s">
        <v>42</v>
      </c>
      <c r="C4" s="4" t="s">
        <v>43</v>
      </c>
      <c r="D4" s="4" t="s">
        <v>10</v>
      </c>
      <c r="E4" s="4" t="s">
        <v>12</v>
      </c>
      <c r="F4" s="4" t="s">
        <v>35</v>
      </c>
      <c r="G4" s="4" t="s">
        <v>18</v>
      </c>
      <c r="H4" s="4" t="s">
        <v>20</v>
      </c>
      <c r="I4" s="4" t="s">
        <v>22</v>
      </c>
      <c r="J4" s="4" t="s">
        <v>24</v>
      </c>
      <c r="K4" s="4" t="s">
        <v>26</v>
      </c>
      <c r="L4" s="4" t="s">
        <v>38</v>
      </c>
    </row>
    <row r="5" spans="2:12" ht="15" customHeight="1" x14ac:dyDescent="0.35">
      <c r="B5" s="34">
        <v>25</v>
      </c>
      <c r="C5" s="40">
        <f t="shared" ref="C5:C21" si="0">B5+273.15</f>
        <v>298.14999999999998</v>
      </c>
      <c r="D5" s="43">
        <f>(Constituyentes!$E$5+Constituyentes!$F$5*MIN(MAX($C5,Constituyentes!$H$5),Constituyentes!$I$5)+Constituyentes!$G$5/MIN(MAX($C5,Constituyentes!$H$5),Constituyentes!$I$5)^2)/Constituyentes!$C$5</f>
        <v>922.06803074894663</v>
      </c>
      <c r="E5" s="43">
        <f>(Constituyentes!$E$6+Constituyentes!$F$6*MIN(MAX($C5,Constituyentes!$H$6),Constituyentes!$I$6)+Constituyentes!$G$6/MIN(MAX($C5,Constituyentes!$H$6),Constituyentes!$I$6)^2)/Constituyentes!$C$6</f>
        <v>773.21893869340795</v>
      </c>
      <c r="F5" s="43">
        <f>IF($C5&lt;Constituyentes!$I$7,(Constituyentes!$E$7+Constituyentes!$F$7*MIN(MAX($C5,Constituyentes!$H$7),Constituyentes!$I$7)+Constituyentes!$G$7/MIN(MAX($C5,Constituyentes!$H$7),Constituyentes!$I$7)^2)/Constituyentes!$C$7,(Constituyentes!$E$8+Constituyentes!$F$8*MIN(MAX($C5,Constituyentes!$H$8),Constituyentes!$I$8)+Constituyentes!$G$8/MIN(MAX($C5,Constituyentes!$H$8),Constituyentes!$I$8)^2)/Constituyentes!$C$8)</f>
        <v>739.93766696335035</v>
      </c>
      <c r="G5" s="43">
        <f>(Constituyentes!$E$9+Constituyentes!$F$9*MIN(MAX($C5,Constituyentes!$H$9),Constituyentes!$I$9)+Constituyentes!$G$9/MIN(MAX($C5,Constituyentes!$H$9),Constituyentes!$I$9)^2)/Constituyentes!$C$9</f>
        <v>763.80267600973775</v>
      </c>
      <c r="H5" s="43">
        <f>(Constituyentes!$E$10+Constituyentes!$F$10*MIN(MAX($C5,Constituyentes!$H$10),Constituyentes!$I$10)+Constituyentes!$G$10/MIN(MAX($C5,Constituyentes!$H$10),Constituyentes!$I$10)^2)/Constituyentes!$C$10</f>
        <v>656.13342910864287</v>
      </c>
      <c r="I5" s="43">
        <f>(Constituyentes!$E$11+Constituyentes!$F$11*MIN(MAX($C5,Constituyentes!$H$11),Constituyentes!$I$11)+Constituyentes!$G$11/MIN(MAX($C5,Constituyentes!$H$11),Constituyentes!$I$11)^2)/Constituyentes!$C$11</f>
        <v>689.46585199866138</v>
      </c>
      <c r="J5" s="43">
        <f>(Constituyentes!$E$12+Constituyentes!$F$12*MIN(MAX($C5,Constituyentes!$H$12),Constituyentes!$I$12)+Constituyentes!$G$12/MIN(MAX($C5,Constituyentes!$H$12),Constituyentes!$I$12)^2)/Constituyentes!$C$12</f>
        <v>1032.9425168772607</v>
      </c>
      <c r="K5" s="43">
        <f>(Constituyentes!$E$13+Constituyentes!$F$13*MIN(MAX($C5,Constituyentes!$H$13),Constituyentes!$I$13)+Constituyentes!$G$13/MIN(MAX($C5,Constituyentes!$H$13),Constituyentes!$I$13)^2)/Constituyentes!$C$13</f>
        <v>742.74098159536663</v>
      </c>
      <c r="L5" s="43">
        <f>(Constituyentes!$E$14+Constituyentes!$F$14*MIN(MAX($C5,Constituyentes!$H$14),Constituyentes!$I$14)+Constituyentes!$G$14/MIN(MAX($C5,Constituyentes!$H$14),Constituyentes!$I$14)^2)/Constituyentes!$C$14</f>
        <v>710.58653163182578</v>
      </c>
    </row>
    <row r="6" spans="2:12" ht="15" customHeight="1" x14ac:dyDescent="0.35">
      <c r="B6" s="34">
        <v>100</v>
      </c>
      <c r="C6" s="40">
        <f t="shared" si="0"/>
        <v>373.15</v>
      </c>
      <c r="D6" s="43">
        <f>(Constituyentes!$E$5+Constituyentes!$F$5*MIN(MAX($C6,Constituyentes!$H$5),Constituyentes!$I$5)+Constituyentes!$G$5/MIN(MAX($C6,Constituyentes!$H$5),Constituyentes!$I$5)^2)/Constituyentes!$C$5</f>
        <v>1042.3705588981218</v>
      </c>
      <c r="E6" s="43">
        <f>(Constituyentes!$E$6+Constituyentes!$F$6*MIN(MAX($C6,Constituyentes!$H$6),Constituyentes!$I$6)+Constituyentes!$G$6/MIN(MAX($C6,Constituyentes!$H$6),Constituyentes!$I$6)^2)/Constituyentes!$C$6</f>
        <v>928.90075014381114</v>
      </c>
      <c r="F6" s="43">
        <f>IF($C6&lt;Constituyentes!$I$7,(Constituyentes!$E$7+Constituyentes!$F$7*MIN(MAX($C6,Constituyentes!$H$7),Constituyentes!$I$7)+Constituyentes!$G$7/MIN(MAX($C6,Constituyentes!$H$7),Constituyentes!$I$7)^2)/Constituyentes!$C$7,(Constituyentes!$E$8+Constituyentes!$F$8*MIN(MAX($C6,Constituyentes!$H$8),Constituyentes!$I$8)+Constituyentes!$G$8/MIN(MAX($C6,Constituyentes!$H$8),Constituyentes!$I$8)^2)/Constituyentes!$C$8)</f>
        <v>859.26711732869421</v>
      </c>
      <c r="G6" s="43">
        <f>(Constituyentes!$E$9+Constituyentes!$F$9*MIN(MAX($C6,Constituyentes!$H$9),Constituyentes!$I$9)+Constituyentes!$G$9/MIN(MAX($C6,Constituyentes!$H$9),Constituyentes!$I$9)^2)/Constituyentes!$C$9</f>
        <v>817.21427223614216</v>
      </c>
      <c r="H6" s="43">
        <f>(Constituyentes!$E$10+Constituyentes!$F$10*MIN(MAX($C6,Constituyentes!$H$10),Constituyentes!$I$10)+Constituyentes!$G$10/MIN(MAX($C6,Constituyentes!$H$10),Constituyentes!$I$10)^2)/Constituyentes!$C$10</f>
        <v>730.50927355928695</v>
      </c>
      <c r="I6" s="43">
        <f>(Constituyentes!$E$11+Constituyentes!$F$11*MIN(MAX($C6,Constituyentes!$H$11),Constituyentes!$I$11)+Constituyentes!$G$11/MIN(MAX($C6,Constituyentes!$H$11),Constituyentes!$I$11)^2)/Constituyentes!$C$11</f>
        <v>783.25840127387141</v>
      </c>
      <c r="J6" s="43">
        <f>(Constituyentes!$E$12+Constituyentes!$F$12*MIN(MAX($C6,Constituyentes!$H$12),Constituyentes!$I$12)+Constituyentes!$G$12/MIN(MAX($C6,Constituyentes!$H$12),Constituyentes!$I$12)^2)/Constituyentes!$C$12</f>
        <v>1091.6814077373904</v>
      </c>
      <c r="K6" s="43">
        <f>(Constituyentes!$E$13+Constituyentes!$F$13*MIN(MAX($C6,Constituyentes!$H$13),Constituyentes!$I$13)+Constituyentes!$G$13/MIN(MAX($C6,Constituyentes!$H$13),Constituyentes!$I$13)^2)/Constituyentes!$C$13</f>
        <v>775.93827034520723</v>
      </c>
      <c r="L6" s="43">
        <f>(Constituyentes!$E$14+Constituyentes!$F$14*MIN(MAX($C6,Constituyentes!$H$14),Constituyentes!$I$14)+Constituyentes!$G$14/MIN(MAX($C6,Constituyentes!$H$14),Constituyentes!$I$14)^2)/Constituyentes!$C$14</f>
        <v>1034.9305791589481</v>
      </c>
    </row>
    <row r="7" spans="2:12" ht="15" customHeight="1" x14ac:dyDescent="0.35">
      <c r="B7" s="34">
        <v>200</v>
      </c>
      <c r="C7" s="40">
        <f t="shared" si="0"/>
        <v>473.15</v>
      </c>
      <c r="D7" s="43">
        <f>(Constituyentes!$E$5+Constituyentes!$F$5*MIN(MAX($C7,Constituyentes!$H$5),Constituyentes!$I$5)+Constituyentes!$G$5/MIN(MAX($C7,Constituyentes!$H$5),Constituyentes!$I$5)^2)/Constituyentes!$C$5</f>
        <v>1126.5576205681809</v>
      </c>
      <c r="E7" s="43">
        <f>(Constituyentes!$E$6+Constituyentes!$F$6*MIN(MAX($C7,Constituyentes!$H$6),Constituyentes!$I$6)+Constituyentes!$G$6/MIN(MAX($C7,Constituyentes!$H$6),Constituyentes!$I$6)^2)/Constituyentes!$C$6</f>
        <v>1037.8946919092898</v>
      </c>
      <c r="F7" s="43">
        <f>IF($C7&lt;Constituyentes!$I$7,(Constituyentes!$E$7+Constituyentes!$F$7*MIN(MAX($C7,Constituyentes!$H$7),Constituyentes!$I$7)+Constituyentes!$G$7/MIN(MAX($C7,Constituyentes!$H$7),Constituyentes!$I$7)^2)/Constituyentes!$C$7,(Constituyentes!$E$8+Constituyentes!$F$8*MIN(MAX($C7,Constituyentes!$H$8),Constituyentes!$I$8)+Constituyentes!$G$8/MIN(MAX($C7,Constituyentes!$H$8),Constituyentes!$I$8)^2)/Constituyentes!$C$8)</f>
        <v>967.43213633918106</v>
      </c>
      <c r="G7" s="43">
        <f>(Constituyentes!$E$9+Constituyentes!$F$9*MIN(MAX($C7,Constituyentes!$H$9),Constituyentes!$I$9)+Constituyentes!$G$9/MIN(MAX($C7,Constituyentes!$H$9),Constituyentes!$I$9)^2)/Constituyentes!$C$9</f>
        <v>856.88925265097021</v>
      </c>
      <c r="H7" s="43">
        <f>(Constituyentes!$E$10+Constituyentes!$F$10*MIN(MAX($C7,Constituyentes!$H$10),Constituyentes!$I$10)+Constituyentes!$G$10/MIN(MAX($C7,Constituyentes!$H$10),Constituyentes!$I$10)^2)/Constituyentes!$C$10</f>
        <v>804.48904336512351</v>
      </c>
      <c r="I7" s="43">
        <f>(Constituyentes!$E$11+Constituyentes!$F$11*MIN(MAX($C7,Constituyentes!$H$11),Constituyentes!$I$11)+Constituyentes!$G$11/MIN(MAX($C7,Constituyentes!$H$11),Constituyentes!$I$11)^2)/Constituyentes!$C$11</f>
        <v>846.59180201787058</v>
      </c>
      <c r="J7" s="43">
        <f>(Constituyentes!$E$12+Constituyentes!$F$12*MIN(MAX($C7,Constituyentes!$H$12),Constituyentes!$I$12)+Constituyentes!$G$12/MIN(MAX($C7,Constituyentes!$H$12),Constituyentes!$I$12)^2)/Constituyentes!$C$12</f>
        <v>1143.7790894432303</v>
      </c>
      <c r="K7" s="43">
        <f>(Constituyentes!$E$13+Constituyentes!$F$13*MIN(MAX($C7,Constituyentes!$H$13),Constituyentes!$I$13)+Constituyentes!$G$13/MIN(MAX($C7,Constituyentes!$H$13),Constituyentes!$I$13)^2)/Constituyentes!$C$13</f>
        <v>808.69947899133672</v>
      </c>
      <c r="L7" s="43">
        <f>(Constituyentes!$E$14+Constituyentes!$F$14*MIN(MAX($C7,Constituyentes!$H$14),Constituyentes!$I$14)+Constituyentes!$G$14/MIN(MAX($C7,Constituyentes!$H$14),Constituyentes!$I$14)^2)/Constituyentes!$C$14</f>
        <v>1269.1683315662194</v>
      </c>
    </row>
    <row r="8" spans="2:12" ht="15" customHeight="1" x14ac:dyDescent="0.35">
      <c r="B8" s="34">
        <v>300</v>
      </c>
      <c r="C8" s="40">
        <f t="shared" si="0"/>
        <v>573.15</v>
      </c>
      <c r="D8" s="43">
        <f>(Constituyentes!$E$5+Constituyentes!$F$5*MIN(MAX($C8,Constituyentes!$H$5),Constituyentes!$I$5)+Constituyentes!$G$5/MIN(MAX($C8,Constituyentes!$H$5),Constituyentes!$I$5)^2)/Constituyentes!$C$5</f>
        <v>1174.3832729423996</v>
      </c>
      <c r="E8" s="43">
        <f>(Constituyentes!$E$6+Constituyentes!$F$6*MIN(MAX($C8,Constituyentes!$H$6),Constituyentes!$I$6)+Constituyentes!$G$6/MIN(MAX($C8,Constituyentes!$H$6),Constituyentes!$I$6)^2)/Constituyentes!$C$6</f>
        <v>1099.857053881813</v>
      </c>
      <c r="F8" s="43">
        <f>IF($C8&lt;Constituyentes!$I$7,(Constituyentes!$E$7+Constituyentes!$F$7*MIN(MAX($C8,Constituyentes!$H$7),Constituyentes!$I$7)+Constituyentes!$G$7/MIN(MAX($C8,Constituyentes!$H$7),Constituyentes!$I$7)^2)/Constituyentes!$C$7,(Constituyentes!$E$8+Constituyentes!$F$8*MIN(MAX($C8,Constituyentes!$H$8),Constituyentes!$I$8)+Constituyentes!$G$8/MIN(MAX($C8,Constituyentes!$H$8),Constituyentes!$I$8)^2)/Constituyentes!$C$8)</f>
        <v>1051.2941751494786</v>
      </c>
      <c r="G8" s="43">
        <f>(Constituyentes!$E$9+Constituyentes!$F$9*MIN(MAX($C8,Constituyentes!$H$9),Constituyentes!$I$9)+Constituyentes!$G$9/MIN(MAX($C8,Constituyentes!$H$9),Constituyentes!$I$9)^2)/Constituyentes!$C$9</f>
        <v>881.51684545089779</v>
      </c>
      <c r="H8" s="43">
        <f>(Constituyentes!$E$10+Constituyentes!$F$10*MIN(MAX($C8,Constituyentes!$H$10),Constituyentes!$I$10)+Constituyentes!$G$10/MIN(MAX($C8,Constituyentes!$H$10),Constituyentes!$I$10)^2)/Constituyentes!$C$10</f>
        <v>866.45206746560984</v>
      </c>
      <c r="I8" s="43">
        <f>(Constituyentes!$E$11+Constituyentes!$F$11*MIN(MAX($C8,Constituyentes!$H$11),Constituyentes!$I$11)+Constituyentes!$G$11/MIN(MAX($C8,Constituyentes!$H$11),Constituyentes!$I$11)^2)/Constituyentes!$C$11</f>
        <v>880.47812840291931</v>
      </c>
      <c r="J8" s="43">
        <f>(Constituyentes!$E$12+Constituyentes!$F$12*MIN(MAX($C8,Constituyentes!$H$12),Constituyentes!$I$12)+Constituyentes!$G$12/MIN(MAX($C8,Constituyentes!$H$12),Constituyentes!$I$12)^2)/Constituyentes!$C$12</f>
        <v>1183.3672874826668</v>
      </c>
      <c r="K8" s="43">
        <f>(Constituyentes!$E$13+Constituyentes!$F$13*MIN(MAX($C8,Constituyentes!$H$13),Constituyentes!$I$13)+Constituyentes!$G$13/MIN(MAX($C8,Constituyentes!$H$13),Constituyentes!$I$13)^2)/Constituyentes!$C$13</f>
        <v>835.97336837295416</v>
      </c>
      <c r="L8" s="43">
        <f>(Constituyentes!$E$14+Constituyentes!$F$14*MIN(MAX($C8,Constituyentes!$H$14),Constituyentes!$I$14)+Constituyentes!$G$14/MIN(MAX($C8,Constituyentes!$H$14),Constituyentes!$I$14)^2)/Constituyentes!$C$14</f>
        <v>1408.8384753518619</v>
      </c>
    </row>
    <row r="9" spans="2:12" ht="15" customHeight="1" x14ac:dyDescent="0.35">
      <c r="B9" s="34">
        <v>400</v>
      </c>
      <c r="C9" s="40">
        <f t="shared" si="0"/>
        <v>673.15</v>
      </c>
      <c r="D9" s="43">
        <f>(Constituyentes!$E$5+Constituyentes!$F$5*MIN(MAX($C9,Constituyentes!$H$5),Constituyentes!$I$5)+Constituyentes!$G$5/MIN(MAX($C9,Constituyentes!$H$5),Constituyentes!$I$5)^2)/Constituyentes!$C$5</f>
        <v>1205.7345662539128</v>
      </c>
      <c r="E9" s="43">
        <f>(Constituyentes!$E$6+Constituyentes!$F$6*MIN(MAX($C9,Constituyentes!$H$6),Constituyentes!$I$6)+Constituyentes!$G$6/MIN(MAX($C9,Constituyentes!$H$6),Constituyentes!$I$6)^2)/Constituyentes!$C$6</f>
        <v>1140.5106946633769</v>
      </c>
      <c r="F9" s="43">
        <f>IF($C9&lt;Constituyentes!$I$7,(Constituyentes!$E$7+Constituyentes!$F$7*MIN(MAX($C9,Constituyentes!$H$7),Constituyentes!$I$7)+Constituyentes!$G$7/MIN(MAX($C9,Constituyentes!$H$7),Constituyentes!$I$7)^2)/Constituyentes!$C$7,(Constituyentes!$E$8+Constituyentes!$F$8*MIN(MAX($C9,Constituyentes!$H$8),Constituyentes!$I$8)+Constituyentes!$G$8/MIN(MAX($C9,Constituyentes!$H$8),Constituyentes!$I$8)^2)/Constituyentes!$C$8)</f>
        <v>1124.14519898909</v>
      </c>
      <c r="G9" s="43">
        <f>(Constituyentes!$E$9+Constituyentes!$F$9*MIN(MAX($C9,Constituyentes!$H$9),Constituyentes!$I$9)+Constituyentes!$G$9/MIN(MAX($C9,Constituyentes!$H$9),Constituyentes!$I$9)^2)/Constituyentes!$C$9</f>
        <v>899.32687888433668</v>
      </c>
      <c r="H9" s="43">
        <f>(Constituyentes!$E$10+Constituyentes!$F$10*MIN(MAX($C9,Constituyentes!$H$10),Constituyentes!$I$10)+Constituyentes!$G$10/MIN(MAX($C9,Constituyentes!$H$10),Constituyentes!$I$10)^2)/Constituyentes!$C$10</f>
        <v>922.97063307702967</v>
      </c>
      <c r="I9" s="43">
        <f>(Constituyentes!$E$11+Constituyentes!$F$11*MIN(MAX($C9,Constituyentes!$H$11),Constituyentes!$I$11)+Constituyentes!$G$11/MIN(MAX($C9,Constituyentes!$H$11),Constituyentes!$I$11)^2)/Constituyentes!$C$11</f>
        <v>901.0227915870579</v>
      </c>
      <c r="J9" s="43">
        <f>(Constituyentes!$E$12+Constituyentes!$F$12*MIN(MAX($C9,Constituyentes!$H$12),Constituyentes!$I$12)+Constituyentes!$G$12/MIN(MAX($C9,Constituyentes!$H$12),Constituyentes!$I$12)^2)/Constituyentes!$C$12</f>
        <v>1217.287780952882</v>
      </c>
      <c r="K9" s="43">
        <f>(Constituyentes!$E$13+Constituyentes!$F$13*MIN(MAX($C9,Constituyentes!$H$13),Constituyentes!$I$13)+Constituyentes!$G$13/MIN(MAX($C9,Constituyentes!$H$13),Constituyentes!$I$13)^2)/Constituyentes!$C$13</f>
        <v>860.76110362562224</v>
      </c>
      <c r="L9" s="43">
        <f>(Constituyentes!$E$14+Constituyentes!$F$14*MIN(MAX($C9,Constituyentes!$H$14),Constituyentes!$I$14)+Constituyentes!$G$14/MIN(MAX($C9,Constituyentes!$H$14),Constituyentes!$I$14)^2)/Constituyentes!$C$14</f>
        <v>1505.6626247081217</v>
      </c>
    </row>
    <row r="10" spans="2:12" ht="15" customHeight="1" x14ac:dyDescent="0.35">
      <c r="B10" s="34">
        <v>500</v>
      </c>
      <c r="C10" s="40">
        <f t="shared" si="0"/>
        <v>773.15</v>
      </c>
      <c r="D10" s="43">
        <f>(Constituyentes!$E$5+Constituyentes!$F$5*MIN(MAX($C10,Constituyentes!$H$5),Constituyentes!$I$5)+Constituyentes!$G$5/MIN(MAX($C10,Constituyentes!$H$5),Constituyentes!$I$5)^2)/Constituyentes!$C$5</f>
        <v>1228.5511535130595</v>
      </c>
      <c r="E10" s="43">
        <f>(Constituyentes!$E$6+Constituyentes!$F$6*MIN(MAX($C10,Constituyentes!$H$6),Constituyentes!$I$6)+Constituyentes!$G$6/MIN(MAX($C10,Constituyentes!$H$6),Constituyentes!$I$6)^2)/Constituyentes!$C$6</f>
        <v>1170.1251398668637</v>
      </c>
      <c r="F10" s="43">
        <f>IF($C10&lt;Constituyentes!$I$7,(Constituyentes!$E$7+Constituyentes!$F$7*MIN(MAX($C10,Constituyentes!$H$7),Constituyentes!$I$7)+Constituyentes!$G$7/MIN(MAX($C10,Constituyentes!$H$7),Constituyentes!$I$7)^2)/Constituyentes!$C$7,(Constituyentes!$E$8+Constituyentes!$F$8*MIN(MAX($C10,Constituyentes!$H$8),Constituyentes!$I$8)+Constituyentes!$G$8/MIN(MAX($C10,Constituyentes!$H$8),Constituyentes!$I$8)^2)/Constituyentes!$C$8)</f>
        <v>1191.2918566827825</v>
      </c>
      <c r="G10" s="43">
        <f>(Constituyentes!$E$9+Constituyentes!$F$9*MIN(MAX($C10,Constituyentes!$H$9),Constituyentes!$I$9)+Constituyentes!$G$9/MIN(MAX($C10,Constituyentes!$H$9),Constituyentes!$I$9)^2)/Constituyentes!$C$9</f>
        <v>913.60500767941824</v>
      </c>
      <c r="H10" s="43">
        <f>(Constituyentes!$E$10+Constituyentes!$F$10*MIN(MAX($C10,Constituyentes!$H$10),Constituyentes!$I$10)+Constituyentes!$G$10/MIN(MAX($C10,Constituyentes!$H$10),Constituyentes!$I$10)^2)/Constituyentes!$C$10</f>
        <v>976.66864265700497</v>
      </c>
      <c r="I10" s="43">
        <f>(Constituyentes!$E$11+Constituyentes!$F$11*MIN(MAX($C10,Constituyentes!$H$11),Constituyentes!$I$11)+Constituyentes!$G$11/MIN(MAX($C10,Constituyentes!$H$11),Constituyentes!$I$11)^2)/Constituyentes!$C$11</f>
        <v>914.65567306023377</v>
      </c>
      <c r="J10" s="43">
        <f>(Constituyentes!$E$12+Constituyentes!$F$12*MIN(MAX($C10,Constituyentes!$H$12),Constituyentes!$I$12)+Constituyentes!$G$12/MIN(MAX($C10,Constituyentes!$H$12),Constituyentes!$I$12)^2)/Constituyentes!$C$12</f>
        <v>1248.2720635328378</v>
      </c>
      <c r="K10" s="43">
        <f>(Constituyentes!$E$13+Constituyentes!$F$13*MIN(MAX($C10,Constituyentes!$H$13),Constituyentes!$I$13)+Constituyentes!$G$13/MIN(MAX($C10,Constituyentes!$H$13),Constituyentes!$I$13)^2)/Constituyentes!$C$13</f>
        <v>884.26086193116294</v>
      </c>
      <c r="L10" s="43">
        <f>(Constituyentes!$E$14+Constituyentes!$F$14*MIN(MAX($C10,Constituyentes!$H$14),Constituyentes!$I$14)+Constituyentes!$G$14/MIN(MAX($C10,Constituyentes!$H$14),Constituyentes!$I$14)^2)/Constituyentes!$C$14</f>
        <v>1580.2899792401183</v>
      </c>
    </row>
    <row r="11" spans="2:12" ht="15" customHeight="1" x14ac:dyDescent="0.35">
      <c r="B11" s="34">
        <v>600</v>
      </c>
      <c r="C11" s="40">
        <f t="shared" si="0"/>
        <v>873.15</v>
      </c>
      <c r="D11" s="43">
        <f>(Constituyentes!$E$5+Constituyentes!$F$5*MIN(MAX($C11,Constituyentes!$H$5),Constituyentes!$I$5)+Constituyentes!$G$5/MIN(MAX($C11,Constituyentes!$H$5),Constituyentes!$I$5)^2)/Constituyentes!$C$5</f>
        <v>1246.5078189904234</v>
      </c>
      <c r="E11" s="43">
        <f>(Constituyentes!$E$6+Constituyentes!$F$6*MIN(MAX($C11,Constituyentes!$H$6),Constituyentes!$I$6)+Constituyentes!$G$6/MIN(MAX($C11,Constituyentes!$H$6),Constituyentes!$I$6)^2)/Constituyentes!$C$6</f>
        <v>1193.4535306105861</v>
      </c>
      <c r="F11" s="43">
        <f>IF($C11&lt;Constituyentes!$I$7,(Constituyentes!$E$7+Constituyentes!$F$7*MIN(MAX($C11,Constituyentes!$H$7),Constituyentes!$I$7)+Constituyentes!$G$7/MIN(MAX($C11,Constituyentes!$H$7),Constituyentes!$I$7)^2)/Constituyentes!$C$7,(Constituyentes!$E$8+Constituyentes!$F$8*MIN(MAX($C11,Constituyentes!$H$8),Constituyentes!$I$8)+Constituyentes!$G$8/MIN(MAX($C11,Constituyentes!$H$8),Constituyentes!$I$8)^2)/Constituyentes!$C$8)</f>
        <v>1121.448296523143</v>
      </c>
      <c r="G11" s="43">
        <f>(Constituyentes!$E$9+Constituyentes!$F$9*MIN(MAX($C11,Constituyentes!$H$9),Constituyentes!$I$9)+Constituyentes!$G$9/MIN(MAX($C11,Constituyentes!$H$9),Constituyentes!$I$9)^2)/Constituyentes!$C$9</f>
        <v>925.87196231363021</v>
      </c>
      <c r="H11" s="43">
        <f>(Constituyentes!$E$10+Constituyentes!$F$10*MIN(MAX($C11,Constituyentes!$H$10),Constituyentes!$I$10)+Constituyentes!$G$10/MIN(MAX($C11,Constituyentes!$H$10),Constituyentes!$I$10)^2)/Constituyentes!$C$10</f>
        <v>1028.7605416562703</v>
      </c>
      <c r="I11" s="43">
        <f>(Constituyentes!$E$11+Constituyentes!$F$11*MIN(MAX($C11,Constituyentes!$H$11),Constituyentes!$I$11)+Constituyentes!$G$11/MIN(MAX($C11,Constituyentes!$H$11),Constituyentes!$I$11)^2)/Constituyentes!$C$11</f>
        <v>924.35277534172633</v>
      </c>
      <c r="J11" s="43">
        <f>(Constituyentes!$E$12+Constituyentes!$F$12*MIN(MAX($C11,Constituyentes!$H$12),Constituyentes!$I$12)+Constituyentes!$G$12/MIN(MAX($C11,Constituyentes!$H$12),Constituyentes!$I$12)^2)/Constituyentes!$C$12</f>
        <v>1277.5843781300737</v>
      </c>
      <c r="K11" s="43">
        <f>(Constituyentes!$E$13+Constituyentes!$F$13*MIN(MAX($C11,Constituyentes!$H$13),Constituyentes!$I$13)+Constituyentes!$G$13/MIN(MAX($C11,Constituyentes!$H$13),Constituyentes!$I$13)^2)/Constituyentes!$C$13</f>
        <v>907.02720690279727</v>
      </c>
      <c r="L11" s="43">
        <f>(Constituyentes!$E$14+Constituyentes!$F$14*MIN(MAX($C11,Constituyentes!$H$14),Constituyentes!$I$14)+Constituyentes!$G$14/MIN(MAX($C11,Constituyentes!$H$14),Constituyentes!$I$14)^2)/Constituyentes!$C$14</f>
        <v>1642.2778021947738</v>
      </c>
    </row>
    <row r="12" spans="2:12" ht="15" customHeight="1" x14ac:dyDescent="0.35">
      <c r="B12" s="34">
        <v>700</v>
      </c>
      <c r="C12" s="40">
        <f t="shared" si="0"/>
        <v>973.15</v>
      </c>
      <c r="D12" s="43">
        <f>(Constituyentes!$E$5+Constituyentes!$F$5*MIN(MAX($C12,Constituyentes!$H$5),Constituyentes!$I$5)+Constituyentes!$G$5/MIN(MAX($C12,Constituyentes!$H$5),Constituyentes!$I$5)^2)/Constituyentes!$C$5</f>
        <v>1261.4950812523339</v>
      </c>
      <c r="E12" s="43">
        <f>(Constituyentes!$E$6+Constituyentes!$F$6*MIN(MAX($C12,Constituyentes!$H$6),Constituyentes!$I$6)+Constituyentes!$G$6/MIN(MAX($C12,Constituyentes!$H$6),Constituyentes!$I$6)^2)/Constituyentes!$C$6</f>
        <v>1212.9411537116464</v>
      </c>
      <c r="F12" s="43">
        <f>IF($C12&lt;Constituyentes!$I$7,(Constituyentes!$E$7+Constituyentes!$F$7*MIN(MAX($C12,Constituyentes!$H$7),Constituyentes!$I$7)+Constituyentes!$G$7/MIN(MAX($C12,Constituyentes!$H$7),Constituyentes!$I$7)^2)/Constituyentes!$C$7,(Constituyentes!$E$8+Constituyentes!$F$8*MIN(MAX($C12,Constituyentes!$H$8),Constituyentes!$I$8)+Constituyentes!$G$8/MIN(MAX($C12,Constituyentes!$H$8),Constituyentes!$I$8)^2)/Constituyentes!$C$8)</f>
        <v>1134.962934607127</v>
      </c>
      <c r="G12" s="43">
        <f>(Constituyentes!$E$9+Constituyentes!$F$9*MIN(MAX($C12,Constituyentes!$H$9),Constituyentes!$I$9)+Constituyentes!$G$9/MIN(MAX($C12,Constituyentes!$H$9),Constituyentes!$I$9)^2)/Constituyentes!$C$9</f>
        <v>936.9100932572004</v>
      </c>
      <c r="H12" s="43">
        <f>(Constituyentes!$E$10+Constituyentes!$F$10*MIN(MAX($C12,Constituyentes!$H$10),Constituyentes!$I$10)+Constituyentes!$G$10/MIN(MAX($C12,Constituyentes!$H$10),Constituyentes!$I$10)^2)/Constituyentes!$C$10</f>
        <v>1068.1051214688587</v>
      </c>
      <c r="I12" s="43">
        <f>(Constituyentes!$E$11+Constituyentes!$F$11*MIN(MAX($C12,Constituyentes!$H$11),Constituyentes!$I$11)+Constituyentes!$G$11/MIN(MAX($C12,Constituyentes!$H$11),Constituyentes!$I$11)^2)/Constituyentes!$C$11</f>
        <v>931.64512382020393</v>
      </c>
      <c r="J12" s="43">
        <f>(Constituyentes!$E$12+Constituyentes!$F$12*MIN(MAX($C12,Constituyentes!$H$12),Constituyentes!$I$12)+Constituyentes!$G$12/MIN(MAX($C12,Constituyentes!$H$12),Constituyentes!$I$12)^2)/Constituyentes!$C$12</f>
        <v>1305.8751233838213</v>
      </c>
      <c r="K12" s="43">
        <f>(Constituyentes!$E$13+Constituyentes!$F$13*MIN(MAX($C12,Constituyentes!$H$13),Constituyentes!$I$13)+Constituyentes!$G$13/MIN(MAX($C12,Constituyentes!$H$13),Constituyentes!$I$13)^2)/Constituyentes!$C$13</f>
        <v>929.3454376845857</v>
      </c>
      <c r="L12" s="43">
        <f>(Constituyentes!$E$14+Constituyentes!$F$14*MIN(MAX($C12,Constituyentes!$H$14),Constituyentes!$I$14)+Constituyentes!$G$14/MIN(MAX($C12,Constituyentes!$H$14),Constituyentes!$I$14)^2)/Constituyentes!$C$14</f>
        <v>1696.5428947449477</v>
      </c>
    </row>
    <row r="13" spans="2:12" ht="15" customHeight="1" x14ac:dyDescent="0.35">
      <c r="B13" s="34">
        <v>800</v>
      </c>
      <c r="C13" s="40">
        <f t="shared" si="0"/>
        <v>1073.1500000000001</v>
      </c>
      <c r="D13" s="43">
        <f>(Constituyentes!$E$5+Constituyentes!$F$5*MIN(MAX($C13,Constituyentes!$H$5),Constituyentes!$I$5)+Constituyentes!$G$5/MIN(MAX($C13,Constituyentes!$H$5),Constituyentes!$I$5)^2)/Constituyentes!$C$5</f>
        <v>1274.5661941833846</v>
      </c>
      <c r="E13" s="43">
        <f>(Constituyentes!$E$6+Constituyentes!$F$6*MIN(MAX($C13,Constituyentes!$H$6),Constituyentes!$I$6)+Constituyentes!$G$6/MIN(MAX($C13,Constituyentes!$H$6),Constituyentes!$I$6)^2)/Constituyentes!$C$6</f>
        <v>1229.950337943181</v>
      </c>
      <c r="F13" s="43">
        <f>IF($C13&lt;Constituyentes!$I$7,(Constituyentes!$E$7+Constituyentes!$F$7*MIN(MAX($C13,Constituyentes!$H$7),Constituyentes!$I$7)+Constituyentes!$G$7/MIN(MAX($C13,Constituyentes!$H$7),Constituyentes!$I$7)^2)/Constituyentes!$C$7,(Constituyentes!$E$8+Constituyentes!$F$8*MIN(MAX($C13,Constituyentes!$H$8),Constituyentes!$I$8)+Constituyentes!$G$8/MIN(MAX($C13,Constituyentes!$H$8),Constituyentes!$I$8)^2)/Constituyentes!$C$8)</f>
        <v>1148.4775726911107</v>
      </c>
      <c r="G13" s="43">
        <f>(Constituyentes!$E$9+Constituyentes!$F$9*MIN(MAX($C13,Constituyentes!$H$9),Constituyentes!$I$9)+Constituyentes!$G$9/MIN(MAX($C13,Constituyentes!$H$9),Constituyentes!$I$9)^2)/Constituyentes!$C$9</f>
        <v>947.15526698959968</v>
      </c>
      <c r="H13" s="43">
        <f>(Constituyentes!$E$10+Constituyentes!$F$10*MIN(MAX($C13,Constituyentes!$H$10),Constituyentes!$I$10)+Constituyentes!$G$10/MIN(MAX($C13,Constituyentes!$H$10),Constituyentes!$I$10)^2)/Constituyentes!$C$10</f>
        <v>1068.1051214688587</v>
      </c>
      <c r="I13" s="43">
        <f>(Constituyentes!$E$11+Constituyentes!$F$11*MIN(MAX($C13,Constituyentes!$H$11),Constituyentes!$I$11)+Constituyentes!$G$11/MIN(MAX($C13,Constituyentes!$H$11),Constituyentes!$I$11)^2)/Constituyentes!$C$11</f>
        <v>937.38568998547134</v>
      </c>
      <c r="J13" s="43">
        <f>(Constituyentes!$E$12+Constituyentes!$F$12*MIN(MAX($C13,Constituyentes!$H$12),Constituyentes!$I$12)+Constituyentes!$G$12/MIN(MAX($C13,Constituyentes!$H$12),Constituyentes!$I$12)^2)/Constituyentes!$C$12</f>
        <v>1333.5066521984654</v>
      </c>
      <c r="K13" s="43">
        <f>(Constituyentes!$E$13+Constituyentes!$F$13*MIN(MAX($C13,Constituyentes!$H$13),Constituyentes!$I$13)+Constituyentes!$G$13/MIN(MAX($C13,Constituyentes!$H$13),Constituyentes!$I$13)^2)/Constituyentes!$C$13</f>
        <v>951.37450137025405</v>
      </c>
      <c r="L13" s="43">
        <f>(Constituyentes!$E$14+Constituyentes!$F$14*MIN(MAX($C13,Constituyentes!$H$14),Constituyentes!$I$14)+Constituyentes!$G$14/MIN(MAX($C13,Constituyentes!$H$14),Constituyentes!$I$14)^2)/Constituyentes!$C$14</f>
        <v>1745.8245264367424</v>
      </c>
    </row>
    <row r="14" spans="2:12" ht="15" customHeight="1" x14ac:dyDescent="0.35">
      <c r="B14" s="34">
        <v>900</v>
      </c>
      <c r="C14" s="40">
        <f t="shared" si="0"/>
        <v>1173.1500000000001</v>
      </c>
      <c r="D14" s="43">
        <f>(Constituyentes!$E$5+Constituyentes!$F$5*MIN(MAX($C14,Constituyentes!$H$5),Constituyentes!$I$5)+Constituyentes!$G$5/MIN(MAX($C14,Constituyentes!$H$5),Constituyentes!$I$5)^2)/Constituyentes!$C$5</f>
        <v>1286.3456901151169</v>
      </c>
      <c r="E14" s="43">
        <f>(Constituyentes!$E$6+Constituyentes!$F$6*MIN(MAX($C14,Constituyentes!$H$6),Constituyentes!$I$6)+Constituyentes!$G$6/MIN(MAX($C14,Constituyentes!$H$6),Constituyentes!$I$6)^2)/Constituyentes!$C$6</f>
        <v>1245.2888831884445</v>
      </c>
      <c r="F14" s="43">
        <f>IF($C14&lt;Constituyentes!$I$7,(Constituyentes!$E$7+Constituyentes!$F$7*MIN(MAX($C14,Constituyentes!$H$7),Constituyentes!$I$7)+Constituyentes!$G$7/MIN(MAX($C14,Constituyentes!$H$7),Constituyentes!$I$7)^2)/Constituyentes!$C$7,(Constituyentes!$E$8+Constituyentes!$F$8*MIN(MAX($C14,Constituyentes!$H$8),Constituyentes!$I$8)+Constituyentes!$G$8/MIN(MAX($C14,Constituyentes!$H$8),Constituyentes!$I$8)^2)/Constituyentes!$C$8)</f>
        <v>1161.9922107750945</v>
      </c>
      <c r="G14" s="43">
        <f>(Constituyentes!$E$9+Constituyentes!$F$9*MIN(MAX($C14,Constituyentes!$H$9),Constituyentes!$I$9)+Constituyentes!$G$9/MIN(MAX($C14,Constituyentes!$H$9),Constituyentes!$I$9)^2)/Constituyentes!$C$9</f>
        <v>956.86593279133479</v>
      </c>
      <c r="H14" s="43">
        <f>(Constituyentes!$E$10+Constituyentes!$F$10*MIN(MAX($C14,Constituyentes!$H$10),Constituyentes!$I$10)+Constituyentes!$G$10/MIN(MAX($C14,Constituyentes!$H$10),Constituyentes!$I$10)^2)/Constituyentes!$C$10</f>
        <v>1068.1051214688587</v>
      </c>
      <c r="I14" s="43">
        <f>(Constituyentes!$E$11+Constituyentes!$F$11*MIN(MAX($C14,Constituyentes!$H$11),Constituyentes!$I$11)+Constituyentes!$G$11/MIN(MAX($C14,Constituyentes!$H$11),Constituyentes!$I$11)^2)/Constituyentes!$C$11</f>
        <v>942.08024768850419</v>
      </c>
      <c r="J14" s="43">
        <f>(Constituyentes!$E$12+Constituyentes!$F$12*MIN(MAX($C14,Constituyentes!$H$12),Constituyentes!$I$12)+Constituyentes!$G$12/MIN(MAX($C14,Constituyentes!$H$12),Constituyentes!$I$12)^2)/Constituyentes!$C$12</f>
        <v>1360.6938236004257</v>
      </c>
      <c r="K14" s="43">
        <f>(Constituyentes!$E$13+Constituyentes!$F$13*MIN(MAX($C14,Constituyentes!$H$13),Constituyentes!$I$13)+Constituyentes!$G$13/MIN(MAX($C14,Constituyentes!$H$13),Constituyentes!$I$13)^2)/Constituyentes!$C$13</f>
        <v>973.2086464600817</v>
      </c>
      <c r="L14" s="43">
        <f>(Constituyentes!$E$14+Constituyentes!$F$14*MIN(MAX($C14,Constituyentes!$H$14),Constituyentes!$I$14)+Constituyentes!$G$14/MIN(MAX($C14,Constituyentes!$H$14),Constituyentes!$I$14)^2)/Constituyentes!$C$14</f>
        <v>1791.7469612974453</v>
      </c>
    </row>
    <row r="15" spans="2:12" ht="15" customHeight="1" x14ac:dyDescent="0.35">
      <c r="B15" s="34">
        <v>1000</v>
      </c>
      <c r="C15" s="40">
        <f t="shared" si="0"/>
        <v>1273.1500000000001</v>
      </c>
      <c r="D15" s="43">
        <f>(Constituyentes!$E$5+Constituyentes!$F$5*MIN(MAX($C15,Constituyentes!$H$5),Constituyentes!$I$5)+Constituyentes!$G$5/MIN(MAX($C15,Constituyentes!$H$5),Constituyentes!$I$5)^2)/Constituyentes!$C$5</f>
        <v>1297.2229376497971</v>
      </c>
      <c r="E15" s="43">
        <f>(Constituyentes!$E$6+Constituyentes!$F$6*MIN(MAX($C15,Constituyentes!$H$6),Constituyentes!$I$6)+Constituyentes!$G$6/MIN(MAX($C15,Constituyentes!$H$6),Constituyentes!$I$6)^2)/Constituyentes!$C$6</f>
        <v>1259.4604173551838</v>
      </c>
      <c r="F15" s="43">
        <f>IF($C15&lt;Constituyentes!$I$7,(Constituyentes!$E$7+Constituyentes!$F$7*MIN(MAX($C15,Constituyentes!$H$7),Constituyentes!$I$7)+Constituyentes!$G$7/MIN(MAX($C15,Constituyentes!$H$7),Constituyentes!$I$7)^2)/Constituyentes!$C$7,(Constituyentes!$E$8+Constituyentes!$F$8*MIN(MAX($C15,Constituyentes!$H$8),Constituyentes!$I$8)+Constituyentes!$G$8/MIN(MAX($C15,Constituyentes!$H$8),Constituyentes!$I$8)^2)/Constituyentes!$C$8)</f>
        <v>1175.5068488590782</v>
      </c>
      <c r="G15" s="43">
        <f>(Constituyentes!$E$9+Constituyentes!$F$9*MIN(MAX($C15,Constituyentes!$H$9),Constituyentes!$I$9)+Constituyentes!$G$9/MIN(MAX($C15,Constituyentes!$H$9),Constituyentes!$I$9)^2)/Constituyentes!$C$9</f>
        <v>966.20322248861544</v>
      </c>
      <c r="H15" s="43">
        <f>(Constituyentes!$E$10+Constituyentes!$F$10*MIN(MAX($C15,Constituyentes!$H$10),Constituyentes!$I$10)+Constituyentes!$G$10/MIN(MAX($C15,Constituyentes!$H$10),Constituyentes!$I$10)^2)/Constituyentes!$C$10</f>
        <v>1068.1051214688587</v>
      </c>
      <c r="I15" s="43">
        <f>(Constituyentes!$E$11+Constituyentes!$F$11*MIN(MAX($C15,Constituyentes!$H$11),Constituyentes!$I$11)+Constituyentes!$G$11/MIN(MAX($C15,Constituyentes!$H$11),Constituyentes!$I$11)^2)/Constituyentes!$C$11</f>
        <v>946.04412481141844</v>
      </c>
      <c r="J15" s="43">
        <f>(Constituyentes!$E$12+Constituyentes!$F$12*MIN(MAX($C15,Constituyentes!$H$12),Constituyentes!$I$12)+Constituyentes!$G$12/MIN(MAX($C15,Constituyentes!$H$12),Constituyentes!$I$12)^2)/Constituyentes!$C$12</f>
        <v>1387.570592798387</v>
      </c>
      <c r="K15" s="43">
        <f>(Constituyentes!$E$13+Constituyentes!$F$13*MIN(MAX($C15,Constituyentes!$H$13),Constituyentes!$I$13)+Constituyentes!$G$13/MIN(MAX($C15,Constituyentes!$H$13),Constituyentes!$I$13)^2)/Constituyentes!$C$13</f>
        <v>994.90663277316253</v>
      </c>
      <c r="L15" s="43">
        <f>(Constituyentes!$E$14+Constituyentes!$F$14*MIN(MAX($C15,Constituyentes!$H$14),Constituyentes!$I$14)+Constituyentes!$G$14/MIN(MAX($C15,Constituyentes!$H$14),Constituyentes!$I$14)^2)/Constituyentes!$C$14</f>
        <v>1835.3228569303185</v>
      </c>
    </row>
    <row r="16" spans="2:12" ht="15" customHeight="1" x14ac:dyDescent="0.35">
      <c r="B16" s="34">
        <v>1100</v>
      </c>
      <c r="C16" s="40">
        <f t="shared" si="0"/>
        <v>1373.15</v>
      </c>
      <c r="D16" s="43">
        <f>(Constituyentes!$E$5+Constituyentes!$F$5*MIN(MAX($C16,Constituyentes!$H$5),Constituyentes!$I$5)+Constituyentes!$G$5/MIN(MAX($C16,Constituyentes!$H$5),Constituyentes!$I$5)^2)/Constituyentes!$C$5</f>
        <v>1307.450919904825</v>
      </c>
      <c r="E16" s="43">
        <f>(Constituyentes!$E$6+Constituyentes!$F$6*MIN(MAX($C16,Constituyentes!$H$6),Constituyentes!$I$6)+Constituyentes!$G$6/MIN(MAX($C16,Constituyentes!$H$6),Constituyentes!$I$6)^2)/Constituyentes!$C$6</f>
        <v>1272.7921608647914</v>
      </c>
      <c r="F16" s="43">
        <f>IF($C16&lt;Constituyentes!$I$7,(Constituyentes!$E$7+Constituyentes!$F$7*MIN(MAX($C16,Constituyentes!$H$7),Constituyentes!$I$7)+Constituyentes!$G$7/MIN(MAX($C16,Constituyentes!$H$7),Constituyentes!$I$7)^2)/Constituyentes!$C$7,(Constituyentes!$E$8+Constituyentes!$F$8*MIN(MAX($C16,Constituyentes!$H$8),Constituyentes!$I$8)+Constituyentes!$G$8/MIN(MAX($C16,Constituyentes!$H$8),Constituyentes!$I$8)^2)/Constituyentes!$C$8)</f>
        <v>1189.0214869430622</v>
      </c>
      <c r="G16" s="43">
        <f>(Constituyentes!$E$9+Constituyentes!$F$9*MIN(MAX($C16,Constituyentes!$H$9),Constituyentes!$I$9)+Constituyentes!$G$9/MIN(MAX($C16,Constituyentes!$H$9),Constituyentes!$I$9)^2)/Constituyentes!$C$9</f>
        <v>975.2718277064705</v>
      </c>
      <c r="H16" s="43">
        <f>(Constituyentes!$E$10+Constituyentes!$F$10*MIN(MAX($C16,Constituyentes!$H$10),Constituyentes!$I$10)+Constituyentes!$G$10/MIN(MAX($C16,Constituyentes!$H$10),Constituyentes!$I$10)^2)/Constituyentes!$C$10</f>
        <v>1068.1051214688587</v>
      </c>
      <c r="I16" s="43">
        <f>(Constituyentes!$E$11+Constituyentes!$F$11*MIN(MAX($C16,Constituyentes!$H$11),Constituyentes!$I$11)+Constituyentes!$G$11/MIN(MAX($C16,Constituyentes!$H$11),Constituyentes!$I$11)^2)/Constituyentes!$C$11</f>
        <v>949.48219825018293</v>
      </c>
      <c r="J16" s="43">
        <f>(Constituyentes!$E$12+Constituyentes!$F$12*MIN(MAX($C16,Constituyentes!$H$12),Constituyentes!$I$12)+Constituyentes!$G$12/MIN(MAX($C16,Constituyentes!$H$12),Constituyentes!$I$12)^2)/Constituyentes!$C$12</f>
        <v>1414.2239940475183</v>
      </c>
      <c r="K16" s="43">
        <f>(Constituyentes!$E$13+Constituyentes!$F$13*MIN(MAX($C16,Constituyentes!$H$13),Constituyentes!$I$13)+Constituyentes!$G$13/MIN(MAX($C16,Constituyentes!$H$13),Constituyentes!$I$13)^2)/Constituyentes!$C$13</f>
        <v>1016.506638123849</v>
      </c>
      <c r="L16" s="43">
        <f>(Constituyentes!$E$14+Constituyentes!$F$14*MIN(MAX($C16,Constituyentes!$H$14),Constituyentes!$I$14)+Constituyentes!$G$14/MIN(MAX($C16,Constituyentes!$H$14),Constituyentes!$I$14)^2)/Constituyentes!$C$14</f>
        <v>1877.2101638630602</v>
      </c>
    </row>
    <row r="17" spans="2:12" ht="15" customHeight="1" x14ac:dyDescent="0.35">
      <c r="B17" s="34">
        <v>1200</v>
      </c>
      <c r="C17" s="40">
        <f t="shared" si="0"/>
        <v>1473.15</v>
      </c>
      <c r="D17" s="43">
        <f>(Constituyentes!$E$5+Constituyentes!$F$5*MIN(MAX($C17,Constituyentes!$H$5),Constituyentes!$I$5)+Constituyentes!$G$5/MIN(MAX($C17,Constituyentes!$H$5),Constituyentes!$I$5)^2)/Constituyentes!$C$5</f>
        <v>1317.1997894107033</v>
      </c>
      <c r="E17" s="43">
        <f>(Constituyentes!$E$6+Constituyentes!$F$6*MIN(MAX($C17,Constituyentes!$H$6),Constituyentes!$I$6)+Constituyentes!$G$6/MIN(MAX($C17,Constituyentes!$H$6),Constituyentes!$I$6)^2)/Constituyentes!$C$6</f>
        <v>1285.5041971098069</v>
      </c>
      <c r="F17" s="43">
        <f>IF($C17&lt;Constituyentes!$I$7,(Constituyentes!$E$7+Constituyentes!$F$7*MIN(MAX($C17,Constituyentes!$H$7),Constituyentes!$I$7)+Constituyentes!$G$7/MIN(MAX($C17,Constituyentes!$H$7),Constituyentes!$I$7)^2)/Constituyentes!$C$7,(Constituyentes!$E$8+Constituyentes!$F$8*MIN(MAX($C17,Constituyentes!$H$8),Constituyentes!$I$8)+Constituyentes!$G$8/MIN(MAX($C17,Constituyentes!$H$8),Constituyentes!$I$8)^2)/Constituyentes!$C$8)</f>
        <v>1202.5361250270462</v>
      </c>
      <c r="G17" s="43">
        <f>(Constituyentes!$E$9+Constituyentes!$F$9*MIN(MAX($C17,Constituyentes!$H$9),Constituyentes!$I$9)+Constituyentes!$G$9/MIN(MAX($C17,Constituyentes!$H$9),Constituyentes!$I$9)^2)/Constituyentes!$C$9</f>
        <v>984.14216241206259</v>
      </c>
      <c r="H17" s="43">
        <f>(Constituyentes!$E$10+Constituyentes!$F$10*MIN(MAX($C17,Constituyentes!$H$10),Constituyentes!$I$10)+Constituyentes!$G$10/MIN(MAX($C17,Constituyentes!$H$10),Constituyentes!$I$10)^2)/Constituyentes!$C$10</f>
        <v>1068.1051214688587</v>
      </c>
      <c r="I17" s="43">
        <f>(Constituyentes!$E$11+Constituyentes!$F$11*MIN(MAX($C17,Constituyentes!$H$11),Constituyentes!$I$11)+Constituyentes!$G$11/MIN(MAX($C17,Constituyentes!$H$11),Constituyentes!$I$11)^2)/Constituyentes!$C$11</f>
        <v>952.53226503508722</v>
      </c>
      <c r="J17" s="43">
        <f>(Constituyentes!$E$12+Constituyentes!$F$12*MIN(MAX($C17,Constituyentes!$H$12),Constituyentes!$I$12)+Constituyentes!$G$12/MIN(MAX($C17,Constituyentes!$H$12),Constituyentes!$I$12)^2)/Constituyentes!$C$12</f>
        <v>1421.3504178999406</v>
      </c>
      <c r="K17" s="43">
        <f>(Constituyentes!$E$13+Constituyentes!$F$13*MIN(MAX($C17,Constituyentes!$H$13),Constituyentes!$I$13)+Constituyentes!$G$13/MIN(MAX($C17,Constituyentes!$H$13),Constituyentes!$I$13)^2)/Constituyentes!$C$13</f>
        <v>1022.2930736692316</v>
      </c>
      <c r="L17" s="43">
        <f>(Constituyentes!$E$14+Constituyentes!$F$14*MIN(MAX($C17,Constituyentes!$H$14),Constituyentes!$I$14)+Constituyentes!$G$14/MIN(MAX($C17,Constituyentes!$H$14),Constituyentes!$I$14)^2)/Constituyentes!$C$14</f>
        <v>1917.8514094405184</v>
      </c>
    </row>
    <row r="18" spans="2:12" ht="15" customHeight="1" x14ac:dyDescent="0.35">
      <c r="B18" s="34">
        <v>1300</v>
      </c>
      <c r="C18" s="40">
        <f t="shared" si="0"/>
        <v>1573.15</v>
      </c>
      <c r="D18" s="43">
        <f>(Constituyentes!$E$5+Constituyentes!$F$5*MIN(MAX($C18,Constituyentes!$H$5),Constituyentes!$I$5)+Constituyentes!$G$5/MIN(MAX($C18,Constituyentes!$H$5),Constituyentes!$I$5)^2)/Constituyentes!$C$5</f>
        <v>1326.5874026014155</v>
      </c>
      <c r="E18" s="43">
        <f>(Constituyentes!$E$6+Constituyentes!$F$6*MIN(MAX($C18,Constituyentes!$H$6),Constituyentes!$I$6)+Constituyentes!$G$6/MIN(MAX($C18,Constituyentes!$H$6),Constituyentes!$I$6)^2)/Constituyentes!$C$6</f>
        <v>1297.7489672190627</v>
      </c>
      <c r="F18" s="43">
        <f>IF($C18&lt;Constituyentes!$I$7,(Constituyentes!$E$7+Constituyentes!$F$7*MIN(MAX($C18,Constituyentes!$H$7),Constituyentes!$I$7)+Constituyentes!$G$7/MIN(MAX($C18,Constituyentes!$H$7),Constituyentes!$I$7)^2)/Constituyentes!$C$7,(Constituyentes!$E$8+Constituyentes!$F$8*MIN(MAX($C18,Constituyentes!$H$8),Constituyentes!$I$8)+Constituyentes!$G$8/MIN(MAX($C18,Constituyentes!$H$8),Constituyentes!$I$8)^2)/Constituyentes!$C$8)</f>
        <v>1216.0507631110299</v>
      </c>
      <c r="G18" s="43">
        <f>(Constituyentes!$E$9+Constituyentes!$F$9*MIN(MAX($C18,Constituyentes!$H$9),Constituyentes!$I$9)+Constituyentes!$G$9/MIN(MAX($C18,Constituyentes!$H$9),Constituyentes!$I$9)^2)/Constituyentes!$C$9</f>
        <v>992.86299895716252</v>
      </c>
      <c r="H18" s="43">
        <f>(Constituyentes!$E$10+Constituyentes!$F$10*MIN(MAX($C18,Constituyentes!$H$10),Constituyentes!$I$10)+Constituyentes!$G$10/MIN(MAX($C18,Constituyentes!$H$10),Constituyentes!$I$10)^2)/Constituyentes!$C$10</f>
        <v>1068.1051214688587</v>
      </c>
      <c r="I18" s="43">
        <f>(Constituyentes!$E$11+Constituyentes!$F$11*MIN(MAX($C18,Constituyentes!$H$11),Constituyentes!$I$11)+Constituyentes!$G$11/MIN(MAX($C18,Constituyentes!$H$11),Constituyentes!$I$11)^2)/Constituyentes!$C$11</f>
        <v>955.28977050893832</v>
      </c>
      <c r="J18" s="43">
        <f>(Constituyentes!$E$12+Constituyentes!$F$12*MIN(MAX($C18,Constituyentes!$H$12),Constituyentes!$I$12)+Constituyentes!$G$12/MIN(MAX($C18,Constituyentes!$H$12),Constituyentes!$I$12)^2)/Constituyentes!$C$12</f>
        <v>1421.3504178999406</v>
      </c>
      <c r="K18" s="43">
        <f>(Constituyentes!$E$13+Constituyentes!$F$13*MIN(MAX($C18,Constituyentes!$H$13),Constituyentes!$I$13)+Constituyentes!$G$13/MIN(MAX($C18,Constituyentes!$H$13),Constituyentes!$I$13)^2)/Constituyentes!$C$13</f>
        <v>1022.2930736692316</v>
      </c>
      <c r="L18" s="43">
        <f>(Constituyentes!$E$14+Constituyentes!$F$14*MIN(MAX($C18,Constituyentes!$H$14),Constituyentes!$I$14)+Constituyentes!$G$14/MIN(MAX($C18,Constituyentes!$H$14),Constituyentes!$I$14)^2)/Constituyentes!$C$14</f>
        <v>1957.5531109660183</v>
      </c>
    </row>
    <row r="19" spans="2:12" ht="15" customHeight="1" x14ac:dyDescent="0.35">
      <c r="B19" s="34">
        <v>1400</v>
      </c>
      <c r="C19" s="40">
        <f t="shared" si="0"/>
        <v>1673.15</v>
      </c>
      <c r="D19" s="43">
        <f>(Constituyentes!$E$5+Constituyentes!$F$5*MIN(MAX($C19,Constituyentes!$H$5),Constituyentes!$I$5)+Constituyentes!$G$5/MIN(MAX($C19,Constituyentes!$H$5),Constituyentes!$I$5)^2)/Constituyentes!$C$5</f>
        <v>1335.6974856146799</v>
      </c>
      <c r="E19" s="43">
        <f>(Constituyentes!$E$6+Constituyentes!$F$6*MIN(MAX($C19,Constituyentes!$H$6),Constituyentes!$I$6)+Constituyentes!$G$6/MIN(MAX($C19,Constituyentes!$H$6),Constituyentes!$I$6)^2)/Constituyentes!$C$6</f>
        <v>1309.6347665695284</v>
      </c>
      <c r="F19" s="43">
        <f>IF($C19&lt;Constituyentes!$I$7,(Constituyentes!$E$7+Constituyentes!$F$7*MIN(MAX($C19,Constituyentes!$H$7),Constituyentes!$I$7)+Constituyentes!$G$7/MIN(MAX($C19,Constituyentes!$H$7),Constituyentes!$I$7)^2)/Constituyentes!$C$7,(Constituyentes!$E$8+Constituyentes!$F$8*MIN(MAX($C19,Constituyentes!$H$8),Constituyentes!$I$8)+Constituyentes!$G$8/MIN(MAX($C19,Constituyentes!$H$8),Constituyentes!$I$8)^2)/Constituyentes!$C$8)</f>
        <v>1229.5654011950137</v>
      </c>
      <c r="G19" s="43">
        <f>(Constituyentes!$E$9+Constituyentes!$F$9*MIN(MAX($C19,Constituyentes!$H$9),Constituyentes!$I$9)+Constituyentes!$G$9/MIN(MAX($C19,Constituyentes!$H$9),Constituyentes!$I$9)^2)/Constituyentes!$C$9</f>
        <v>1001.468985604094</v>
      </c>
      <c r="H19" s="43">
        <f>(Constituyentes!$E$10+Constituyentes!$F$10*MIN(MAX($C19,Constituyentes!$H$10),Constituyentes!$I$10)+Constituyentes!$G$10/MIN(MAX($C19,Constituyentes!$H$10),Constituyentes!$I$10)^2)/Constituyentes!$C$10</f>
        <v>1068.1051214688587</v>
      </c>
      <c r="I19" s="43">
        <f>(Constituyentes!$E$11+Constituyentes!$F$11*MIN(MAX($C19,Constituyentes!$H$11),Constituyentes!$I$11)+Constituyentes!$G$11/MIN(MAX($C19,Constituyentes!$H$11),Constituyentes!$I$11)^2)/Constituyentes!$C$11</f>
        <v>957.82251979400507</v>
      </c>
      <c r="J19" s="43">
        <f>(Constituyentes!$E$12+Constituyentes!$F$12*MIN(MAX($C19,Constituyentes!$H$12),Constituyentes!$I$12)+Constituyentes!$G$12/MIN(MAX($C19,Constituyentes!$H$12),Constituyentes!$I$12)^2)/Constituyentes!$C$12</f>
        <v>1421.3504178999406</v>
      </c>
      <c r="K19" s="43">
        <f>(Constituyentes!$E$13+Constituyentes!$F$13*MIN(MAX($C19,Constituyentes!$H$13),Constituyentes!$I$13)+Constituyentes!$G$13/MIN(MAX($C19,Constituyentes!$H$13),Constituyentes!$I$13)^2)/Constituyentes!$C$13</f>
        <v>1022.2930736692316</v>
      </c>
      <c r="L19" s="43">
        <f>(Constituyentes!$E$14+Constituyentes!$F$14*MIN(MAX($C19,Constituyentes!$H$14),Constituyentes!$I$14)+Constituyentes!$G$14/MIN(MAX($C19,Constituyentes!$H$14),Constituyentes!$I$14)^2)/Constituyentes!$C$14</f>
        <v>1996.5330207427983</v>
      </c>
    </row>
    <row r="20" spans="2:12" ht="15" customHeight="1" x14ac:dyDescent="0.35">
      <c r="B20" s="34">
        <v>1500</v>
      </c>
      <c r="C20" s="40">
        <f t="shared" si="0"/>
        <v>1773.15</v>
      </c>
      <c r="D20" s="43">
        <f>(Constituyentes!$E$5+Constituyentes!$F$5*MIN(MAX($C20,Constituyentes!$H$5),Constituyentes!$I$5)+Constituyentes!$G$5/MIN(MAX($C20,Constituyentes!$H$5),Constituyentes!$I$5)^2)/Constituyentes!$C$5</f>
        <v>1344.5908428321413</v>
      </c>
      <c r="E20" s="43">
        <f>(Constituyentes!$E$6+Constituyentes!$F$6*MIN(MAX($C20,Constituyentes!$H$6),Constituyentes!$I$6)+Constituyentes!$G$6/MIN(MAX($C20,Constituyentes!$H$6),Constituyentes!$I$6)^2)/Constituyentes!$C$6</f>
        <v>1321.2402424464026</v>
      </c>
      <c r="F20" s="43">
        <f>IF($C20&lt;Constituyentes!$I$7,(Constituyentes!$E$7+Constituyentes!$F$7*MIN(MAX($C20,Constituyentes!$H$7),Constituyentes!$I$7)+Constituyentes!$G$7/MIN(MAX($C20,Constituyentes!$H$7),Constituyentes!$I$7)^2)/Constituyentes!$C$7,(Constituyentes!$E$8+Constituyentes!$F$8*MIN(MAX($C20,Constituyentes!$H$8),Constituyentes!$I$8)+Constituyentes!$G$8/MIN(MAX($C20,Constituyentes!$H$8),Constituyentes!$I$8)^2)/Constituyentes!$C$8)</f>
        <v>1232.6534959972039</v>
      </c>
      <c r="G20" s="43">
        <f>(Constituyentes!$E$9+Constituyentes!$F$9*MIN(MAX($C20,Constituyentes!$H$9),Constituyentes!$I$9)+Constituyentes!$G$9/MIN(MAX($C20,Constituyentes!$H$9),Constituyentes!$I$9)^2)/Constituyentes!$C$9</f>
        <v>1009.9852849391538</v>
      </c>
      <c r="H20" s="43">
        <f>(Constituyentes!$E$10+Constituyentes!$F$10*MIN(MAX($C20,Constituyentes!$H$10),Constituyentes!$I$10)+Constituyentes!$G$10/MIN(MAX($C20,Constituyentes!$H$10),Constituyentes!$I$10)^2)/Constituyentes!$C$10</f>
        <v>1068.1051214688587</v>
      </c>
      <c r="I20" s="43">
        <f>(Constituyentes!$E$11+Constituyentes!$F$11*MIN(MAX($C20,Constituyentes!$H$11),Constituyentes!$I$11)+Constituyentes!$G$11/MIN(MAX($C20,Constituyentes!$H$11),Constituyentes!$I$11)^2)/Constituyentes!$C$11</f>
        <v>960.17975496264694</v>
      </c>
      <c r="J20" s="43">
        <f>(Constituyentes!$E$12+Constituyentes!$F$12*MIN(MAX($C20,Constituyentes!$H$12),Constituyentes!$I$12)+Constituyentes!$G$12/MIN(MAX($C20,Constituyentes!$H$12),Constituyentes!$I$12)^2)/Constituyentes!$C$12</f>
        <v>1421.3504178999406</v>
      </c>
      <c r="K20" s="43">
        <f>(Constituyentes!$E$13+Constituyentes!$F$13*MIN(MAX($C20,Constituyentes!$H$13),Constituyentes!$I$13)+Constituyentes!$G$13/MIN(MAX($C20,Constituyentes!$H$13),Constituyentes!$I$13)^2)/Constituyentes!$C$13</f>
        <v>1022.2930736692316</v>
      </c>
      <c r="L20" s="43">
        <f>(Constituyentes!$E$14+Constituyentes!$F$14*MIN(MAX($C20,Constituyentes!$H$14),Constituyentes!$I$14)+Constituyentes!$G$14/MIN(MAX($C20,Constituyentes!$H$14),Constituyentes!$I$14)^2)/Constituyentes!$C$14</f>
        <v>2034.9492768924872</v>
      </c>
    </row>
    <row r="21" spans="2:12" ht="15" customHeight="1" x14ac:dyDescent="0.35">
      <c r="B21" s="34">
        <v>1600</v>
      </c>
      <c r="C21" s="40">
        <f t="shared" si="0"/>
        <v>1873.15</v>
      </c>
      <c r="D21" s="43">
        <f>(Constituyentes!$E$5+Constituyentes!$F$5*MIN(MAX($C21,Constituyentes!$H$5),Constituyentes!$I$5)+Constituyentes!$G$5/MIN(MAX($C21,Constituyentes!$H$5),Constituyentes!$I$5)^2)/Constituyentes!$C$5</f>
        <v>1353.312494747194</v>
      </c>
      <c r="E21" s="43">
        <f>(Constituyentes!$E$6+Constituyentes!$F$6*MIN(MAX($C21,Constituyentes!$H$6),Constituyentes!$I$6)+Constituyentes!$G$6/MIN(MAX($C21,Constituyentes!$H$6),Constituyentes!$I$6)^2)/Constituyentes!$C$6</f>
        <v>1332.6236265015491</v>
      </c>
      <c r="F21" s="43">
        <f>IF($C21&lt;Constituyentes!$I$7,(Constituyentes!$E$7+Constituyentes!$F$7*MIN(MAX($C21,Constituyentes!$H$7),Constituyentes!$I$7)+Constituyentes!$G$7/MIN(MAX($C21,Constituyentes!$H$7),Constituyentes!$I$7)^2)/Constituyentes!$C$7,(Constituyentes!$E$8+Constituyentes!$F$8*MIN(MAX($C21,Constituyentes!$H$8),Constituyentes!$I$8)+Constituyentes!$G$8/MIN(MAX($C21,Constituyentes!$H$8),Constituyentes!$I$8)^2)/Constituyentes!$C$8)</f>
        <v>1232.6534959972039</v>
      </c>
      <c r="G21" s="43">
        <f>(Constituyentes!$E$9+Constituyentes!$F$9*MIN(MAX($C21,Constituyentes!$H$9),Constituyentes!$I$9)+Constituyentes!$G$9/MIN(MAX($C21,Constituyentes!$H$9),Constituyentes!$I$9)^2)/Constituyentes!$C$9</f>
        <v>1018.4305277257768</v>
      </c>
      <c r="H21" s="43">
        <f>(Constituyentes!$E$10+Constituyentes!$F$10*MIN(MAX($C21,Constituyentes!$H$10),Constituyentes!$I$10)+Constituyentes!$G$10/MIN(MAX($C21,Constituyentes!$H$10),Constituyentes!$I$10)^2)/Constituyentes!$C$10</f>
        <v>1068.1051214688587</v>
      </c>
      <c r="I21" s="43">
        <f>(Constituyentes!$E$11+Constituyentes!$F$11*MIN(MAX($C21,Constituyentes!$H$11),Constituyentes!$I$11)+Constituyentes!$G$11/MIN(MAX($C21,Constituyentes!$H$11),Constituyentes!$I$11)^2)/Constituyentes!$C$11</f>
        <v>962.3979355977666</v>
      </c>
      <c r="J21" s="43">
        <f>(Constituyentes!$E$12+Constituyentes!$F$12*MIN(MAX($C21,Constituyentes!$H$12),Constituyentes!$I$12)+Constituyentes!$G$12/MIN(MAX($C21,Constituyentes!$H$12),Constituyentes!$I$12)^2)/Constituyentes!$C$12</f>
        <v>1421.3504178999406</v>
      </c>
      <c r="K21" s="43">
        <f>(Constituyentes!$E$13+Constituyentes!$F$13*MIN(MAX($C21,Constituyentes!$H$13),Constituyentes!$I$13)+Constituyentes!$G$13/MIN(MAX($C21,Constituyentes!$H$13),Constituyentes!$I$13)^2)/Constituyentes!$C$13</f>
        <v>1022.2930736692316</v>
      </c>
      <c r="L21" s="43">
        <f>(Constituyentes!$E$14+Constituyentes!$F$14*MIN(MAX($C21,Constituyentes!$H$14),Constituyentes!$I$14)+Constituyentes!$G$14/MIN(MAX($C21,Constituyentes!$H$14),Constituyentes!$I$14)^2)/Constituyentes!$C$14</f>
        <v>2072.9189672970397</v>
      </c>
    </row>
    <row r="23" spans="2:12" ht="15" customHeight="1" x14ac:dyDescent="0.35">
      <c r="B23" s="44" t="s">
        <v>44</v>
      </c>
      <c r="C23" s="45" t="s">
        <v>45</v>
      </c>
      <c r="D23" s="46">
        <f>Constituyentes!$J$5</f>
        <v>1237.8908188585608</v>
      </c>
      <c r="E23" s="46">
        <f>Constituyentes!$J$6</f>
        <v>1223.1882778709507</v>
      </c>
      <c r="F23" s="46">
        <f>Constituyentes!$J$8</f>
        <v>1245.452124561024</v>
      </c>
      <c r="G23" s="46">
        <f>Constituyentes!$J$9</f>
        <v>889.61606362679879</v>
      </c>
      <c r="H23" s="46">
        <f>Constituyentes!$J$10</f>
        <v>781.0073393116578</v>
      </c>
      <c r="I23" s="46">
        <f>Constituyentes!$J$11</f>
        <v>936.95064232589584</v>
      </c>
      <c r="J23" s="46">
        <f>Constituyentes!$J$12</f>
        <v>1207.3524903596381</v>
      </c>
      <c r="K23" s="46">
        <f>Constituyentes!$J$13</f>
        <v>794.41271391566522</v>
      </c>
      <c r="L23" s="46">
        <f>Constituyentes!$J$14</f>
        <v>2076.7213387727916</v>
      </c>
    </row>
    <row r="24" spans="2:12" ht="15" customHeight="1" x14ac:dyDescent="0.35">
      <c r="B24" s="2"/>
    </row>
    <row r="25" spans="2:12" ht="15" customHeight="1" x14ac:dyDescent="0.35">
      <c r="B25" s="2"/>
    </row>
  </sheetData>
  <mergeCells count="2">
    <mergeCell ref="B2:L2"/>
    <mergeCell ref="B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AFE39-6C0B-4CD3-8B1E-4D309FC6CDB1}">
  <dimension ref="B2:Q24"/>
  <sheetViews>
    <sheetView showGridLines="0" zoomScaleNormal="100" workbookViewId="0">
      <selection activeCell="C13" sqref="C13"/>
    </sheetView>
  </sheetViews>
  <sheetFormatPr baseColWidth="10" defaultColWidth="8.6328125" defaultRowHeight="14.5" x14ac:dyDescent="0.35"/>
  <cols>
    <col min="2" max="2" width="7" customWidth="1"/>
    <col min="3" max="3" width="36.1796875" customWidth="1"/>
    <col min="4" max="4" width="12.36328125" customWidth="1"/>
    <col min="5" max="5" width="12.7265625" customWidth="1"/>
    <col min="6" max="9" width="10" customWidth="1"/>
    <col min="10" max="10" width="12" customWidth="1"/>
    <col min="11" max="14" width="11" customWidth="1"/>
    <col min="15" max="15" width="12" customWidth="1"/>
    <col min="16" max="16" width="18.7265625" bestFit="1" customWidth="1"/>
  </cols>
  <sheetData>
    <row r="2" spans="2:17" ht="17.399999999999999" customHeight="1" x14ac:dyDescent="0.4">
      <c r="B2" s="1" t="s">
        <v>62</v>
      </c>
    </row>
    <row r="3" spans="2:17" ht="15" customHeight="1" x14ac:dyDescent="0.35">
      <c r="B3" s="2"/>
    </row>
    <row r="4" spans="2:17" ht="39.5" customHeight="1" x14ac:dyDescent="0.35">
      <c r="B4" s="4" t="s">
        <v>33</v>
      </c>
      <c r="C4" s="4" t="s">
        <v>34</v>
      </c>
      <c r="D4" s="4" t="s">
        <v>63</v>
      </c>
      <c r="E4" s="4" t="s">
        <v>64</v>
      </c>
      <c r="F4" s="111" t="s">
        <v>219</v>
      </c>
      <c r="G4" s="112"/>
      <c r="H4" s="112"/>
      <c r="I4" s="113"/>
      <c r="J4" s="4" t="s">
        <v>220</v>
      </c>
      <c r="K4" s="4" t="s">
        <v>221</v>
      </c>
      <c r="L4" s="4" t="s">
        <v>222</v>
      </c>
      <c r="M4" s="4" t="s">
        <v>65</v>
      </c>
      <c r="N4" s="4" t="s">
        <v>66</v>
      </c>
      <c r="O4" s="4" t="s">
        <v>67</v>
      </c>
      <c r="P4" s="4" t="s">
        <v>68</v>
      </c>
    </row>
    <row r="5" spans="2:17" ht="15" customHeight="1" x14ac:dyDescent="0.35">
      <c r="B5" s="96">
        <v>1</v>
      </c>
      <c r="C5" s="103" t="s">
        <v>204</v>
      </c>
      <c r="D5" s="105">
        <v>127</v>
      </c>
      <c r="E5" s="109">
        <v>2990</v>
      </c>
      <c r="F5" s="114" t="s">
        <v>223</v>
      </c>
      <c r="G5" s="115"/>
      <c r="H5" s="115"/>
      <c r="I5" s="116"/>
      <c r="J5" s="88">
        <v>7.5</v>
      </c>
      <c r="K5" s="90">
        <f>'[1]Cp - Capas'!C20</f>
        <v>1406.1826225142274</v>
      </c>
      <c r="L5" s="92">
        <f>E5*K5</f>
        <v>4204486.0413175402</v>
      </c>
      <c r="M5" s="92">
        <f>J5/L5</f>
        <v>1.7838089902778604E-6</v>
      </c>
      <c r="N5" s="94">
        <f>D5/1000/F6</f>
        <v>1.6933333333333335E-2</v>
      </c>
      <c r="O5" s="96">
        <f>L5*D5/1000</f>
        <v>533969.72724732768</v>
      </c>
      <c r="P5" s="101">
        <v>1700</v>
      </c>
    </row>
    <row r="6" spans="2:17" ht="15" customHeight="1" x14ac:dyDescent="0.35">
      <c r="B6" s="97"/>
      <c r="C6" s="104"/>
      <c r="D6" s="106"/>
      <c r="E6" s="110"/>
      <c r="F6" s="117">
        <v>7.5</v>
      </c>
      <c r="G6" s="118"/>
      <c r="H6" s="118"/>
      <c r="I6" s="119"/>
      <c r="J6" s="89"/>
      <c r="K6" s="91"/>
      <c r="L6" s="93"/>
      <c r="M6" s="93"/>
      <c r="N6" s="95"/>
      <c r="O6" s="97"/>
      <c r="P6" s="102"/>
      <c r="Q6" s="2"/>
    </row>
    <row r="7" spans="2:17" ht="15" customHeight="1" x14ac:dyDescent="0.35">
      <c r="B7" s="96">
        <v>2</v>
      </c>
      <c r="C7" s="103" t="s">
        <v>205</v>
      </c>
      <c r="D7" s="105">
        <v>13</v>
      </c>
      <c r="E7" s="109">
        <v>2147</v>
      </c>
      <c r="F7" s="51" t="s">
        <v>224</v>
      </c>
      <c r="G7" s="51" t="s">
        <v>225</v>
      </c>
      <c r="H7" s="51" t="s">
        <v>226</v>
      </c>
      <c r="I7" s="51" t="s">
        <v>227</v>
      </c>
      <c r="J7" s="88">
        <f>AVERAGE(F8:I8)</f>
        <v>1.6666666666666667</v>
      </c>
      <c r="K7" s="90">
        <f>'[1]Cp - Capas'!D20</f>
        <v>1293.070593655495</v>
      </c>
      <c r="L7" s="92">
        <f>E7*K7</f>
        <v>2776222.5645783478</v>
      </c>
      <c r="M7" s="92">
        <f>J7/L7</f>
        <v>6.003361142336222E-7</v>
      </c>
      <c r="N7" s="94">
        <f>D7/1000/G8</f>
        <v>7.8787878787878792E-3</v>
      </c>
      <c r="O7" s="96">
        <f>L7*D7/1000</f>
        <v>36090.893339518523</v>
      </c>
      <c r="P7" s="98">
        <v>1700</v>
      </c>
      <c r="Q7" s="2"/>
    </row>
    <row r="8" spans="2:17" ht="15" customHeight="1" x14ac:dyDescent="0.35">
      <c r="B8" s="97"/>
      <c r="C8" s="104"/>
      <c r="D8" s="106"/>
      <c r="E8" s="110"/>
      <c r="F8" s="52">
        <v>1.6</v>
      </c>
      <c r="G8" s="52">
        <v>1.65</v>
      </c>
      <c r="H8" s="52"/>
      <c r="I8" s="52">
        <v>1.75</v>
      </c>
      <c r="J8" s="89"/>
      <c r="K8" s="91"/>
      <c r="L8" s="93"/>
      <c r="M8" s="93"/>
      <c r="N8" s="95"/>
      <c r="O8" s="97"/>
      <c r="P8" s="99"/>
      <c r="Q8" s="2"/>
    </row>
    <row r="9" spans="2:17" ht="15" customHeight="1" x14ac:dyDescent="0.35">
      <c r="B9" s="96">
        <v>3</v>
      </c>
      <c r="C9" s="103" t="s">
        <v>206</v>
      </c>
      <c r="D9" s="105">
        <v>76</v>
      </c>
      <c r="E9" s="109">
        <v>2570</v>
      </c>
      <c r="F9" s="51" t="s">
        <v>224</v>
      </c>
      <c r="G9" s="51" t="s">
        <v>225</v>
      </c>
      <c r="H9" s="51" t="s">
        <v>226</v>
      </c>
      <c r="I9" s="51" t="s">
        <v>227</v>
      </c>
      <c r="J9" s="88">
        <f>AVERAGE(F10:I10)</f>
        <v>1.9025000000000001</v>
      </c>
      <c r="K9" s="90">
        <f>'[1]Cp - Capas'!E20</f>
        <v>1281.8258909771171</v>
      </c>
      <c r="L9" s="92">
        <f>E9*K9</f>
        <v>3294292.5398111907</v>
      </c>
      <c r="M9" s="92">
        <f>J9/L9</f>
        <v>5.7751398122919587E-7</v>
      </c>
      <c r="N9" s="94">
        <f>D9/1000/G10</f>
        <v>0.04</v>
      </c>
      <c r="O9" s="96">
        <f>L9*D9/1000</f>
        <v>250366.23302565049</v>
      </c>
      <c r="P9" s="101">
        <v>1600</v>
      </c>
      <c r="Q9" s="2"/>
    </row>
    <row r="10" spans="2:17" ht="15" customHeight="1" x14ac:dyDescent="0.35">
      <c r="B10" s="97"/>
      <c r="C10" s="104"/>
      <c r="D10" s="106"/>
      <c r="E10" s="110"/>
      <c r="F10" s="52">
        <v>2.09</v>
      </c>
      <c r="G10" s="52">
        <v>1.9</v>
      </c>
      <c r="H10" s="52">
        <v>1.84</v>
      </c>
      <c r="I10" s="52">
        <v>1.78</v>
      </c>
      <c r="J10" s="89"/>
      <c r="K10" s="91"/>
      <c r="L10" s="93"/>
      <c r="M10" s="93"/>
      <c r="N10" s="95"/>
      <c r="O10" s="97"/>
      <c r="P10" s="102"/>
      <c r="Q10" s="2"/>
    </row>
    <row r="11" spans="2:17" x14ac:dyDescent="0.35">
      <c r="B11" s="96">
        <v>4</v>
      </c>
      <c r="C11" s="103" t="s">
        <v>207</v>
      </c>
      <c r="D11" s="105">
        <v>13</v>
      </c>
      <c r="E11" s="107">
        <v>1400</v>
      </c>
      <c r="F11" s="51" t="s">
        <v>228</v>
      </c>
      <c r="G11" s="51" t="s">
        <v>224</v>
      </c>
      <c r="H11" s="51" t="s">
        <v>229</v>
      </c>
      <c r="I11" s="51" t="s">
        <v>225</v>
      </c>
      <c r="J11" s="88">
        <f>AVERAGE(F12:I12)</f>
        <v>0.32</v>
      </c>
      <c r="K11" s="90">
        <f>'[1]Cp - Capas'!F20</f>
        <v>1245.2802481516869</v>
      </c>
      <c r="L11" s="92">
        <f>E11*K11</f>
        <v>1743392.3474123618</v>
      </c>
      <c r="M11" s="92">
        <f>J11/L11</f>
        <v>1.835501919432889E-7</v>
      </c>
      <c r="N11" s="94">
        <f>D11/1000/G12</f>
        <v>4.1935483870967738E-2</v>
      </c>
      <c r="O11" s="96">
        <f>L11*D11/1000</f>
        <v>22664.100516360704</v>
      </c>
      <c r="P11" s="98">
        <v>1250</v>
      </c>
      <c r="Q11" s="2"/>
    </row>
    <row r="12" spans="2:17" ht="15" customHeight="1" x14ac:dyDescent="0.35">
      <c r="B12" s="97"/>
      <c r="C12" s="104"/>
      <c r="D12" s="106"/>
      <c r="E12" s="108"/>
      <c r="F12" s="53">
        <v>0.32</v>
      </c>
      <c r="G12" s="54">
        <v>0.31</v>
      </c>
      <c r="H12" s="54">
        <v>0.31</v>
      </c>
      <c r="I12" s="54">
        <v>0.34</v>
      </c>
      <c r="J12" s="89"/>
      <c r="K12" s="91"/>
      <c r="L12" s="93"/>
      <c r="M12" s="93"/>
      <c r="N12" s="95"/>
      <c r="O12" s="97"/>
      <c r="P12" s="99"/>
      <c r="Q12" s="2"/>
    </row>
    <row r="13" spans="2:17" x14ac:dyDescent="0.35">
      <c r="B13" s="55">
        <v>5</v>
      </c>
      <c r="C13" s="56" t="s">
        <v>235</v>
      </c>
      <c r="D13" s="70">
        <v>35</v>
      </c>
      <c r="E13" s="71">
        <v>7850</v>
      </c>
      <c r="F13" s="52">
        <v>35.299999999999997</v>
      </c>
      <c r="G13" s="52">
        <v>35.299999999999997</v>
      </c>
      <c r="H13" s="52">
        <v>35.299999999999997</v>
      </c>
      <c r="I13" s="52">
        <v>35.299999999999997</v>
      </c>
      <c r="J13" s="57">
        <f>AVERAGE(F13:I13)</f>
        <v>35.299999999999997</v>
      </c>
      <c r="K13" s="47">
        <v>400</v>
      </c>
      <c r="L13" s="58">
        <f>E13*K13</f>
        <v>3140000</v>
      </c>
      <c r="M13" s="58">
        <f>J13/L13</f>
        <v>1.1242038216560509E-5</v>
      </c>
      <c r="N13" s="38">
        <f>D13/1000/G13</f>
        <v>9.9150141643059497E-4</v>
      </c>
      <c r="O13" s="43">
        <f>L13*D13/1000</f>
        <v>109900</v>
      </c>
      <c r="P13" s="59">
        <v>450</v>
      </c>
      <c r="Q13" s="2"/>
    </row>
    <row r="14" spans="2:17" ht="15" customHeight="1" x14ac:dyDescent="0.35">
      <c r="C14" s="60" t="s">
        <v>230</v>
      </c>
      <c r="D14" s="61">
        <f>SUM(D5:D13)</f>
        <v>264</v>
      </c>
      <c r="N14" s="62">
        <f>SUM(N5:N13)</f>
        <v>0.10773910649951954</v>
      </c>
      <c r="O14" s="63">
        <f>SUM(O5:O13)</f>
        <v>952990.95412885747</v>
      </c>
    </row>
    <row r="15" spans="2:17" ht="15" customHeight="1" x14ac:dyDescent="0.35"/>
    <row r="16" spans="2:17" ht="15" customHeight="1" x14ac:dyDescent="0.35">
      <c r="B16" s="3" t="s">
        <v>231</v>
      </c>
    </row>
    <row r="17" spans="2:6" ht="43" customHeight="1" x14ac:dyDescent="0.35">
      <c r="B17" s="4" t="s">
        <v>33</v>
      </c>
      <c r="C17" s="4" t="s">
        <v>34</v>
      </c>
      <c r="D17" s="4" t="s">
        <v>69</v>
      </c>
      <c r="E17" s="4" t="s">
        <v>70</v>
      </c>
      <c r="F17" s="64"/>
    </row>
    <row r="18" spans="2:6" ht="15" customHeight="1" x14ac:dyDescent="0.35">
      <c r="B18" s="7">
        <f>B5</f>
        <v>1</v>
      </c>
      <c r="C18" s="5" t="str">
        <f>C5</f>
        <v>Trabajo — ANCARBON C F5L10</v>
      </c>
      <c r="D18" s="48">
        <f>N5/$N$14</f>
        <v>0.15716979547634219</v>
      </c>
      <c r="E18" s="48">
        <f>O5/$O$14</f>
        <v>0.56030933445264119</v>
      </c>
      <c r="F18" s="65"/>
    </row>
    <row r="19" spans="2:6" ht="15" customHeight="1" x14ac:dyDescent="0.35">
      <c r="B19" s="7">
        <f>B7</f>
        <v>2</v>
      </c>
      <c r="C19" s="5" t="str">
        <f>C7</f>
        <v>Junta de sello — COMPAC DRY B83P</v>
      </c>
      <c r="D19" s="48">
        <f>N7/$N$14</f>
        <v>7.3128394459285914E-2</v>
      </c>
      <c r="E19" s="48">
        <f>O7/$O$14</f>
        <v>3.7871181445273759E-2</v>
      </c>
      <c r="F19" s="65"/>
    </row>
    <row r="20" spans="2:6" ht="15" customHeight="1" x14ac:dyDescent="0.35">
      <c r="B20" s="7">
        <f>B9</f>
        <v>3</v>
      </c>
      <c r="C20" s="5" t="str">
        <f>C9</f>
        <v>Seguridad — RESISTAL B65</v>
      </c>
      <c r="D20" s="48">
        <f>N9/$N$14</f>
        <v>0.37126723340868228</v>
      </c>
      <c r="E20" s="48">
        <f>O9/$O$14</f>
        <v>0.26271627442100309</v>
      </c>
      <c r="F20" s="65"/>
    </row>
    <row r="21" spans="2:6" ht="15" customHeight="1" x14ac:dyDescent="0.35">
      <c r="B21" s="7">
        <f>B11</f>
        <v>4</v>
      </c>
      <c r="C21" s="5" t="str">
        <f>C11</f>
        <v>Aislante — SKAMOL VIP 12 HT</v>
      </c>
      <c r="D21" s="48">
        <f>N11/$N$14</f>
        <v>0.38923177696071526</v>
      </c>
      <c r="E21" s="48">
        <f>O11/$O$14</f>
        <v>2.378207308072329E-2</v>
      </c>
      <c r="F21" s="65"/>
    </row>
    <row r="22" spans="2:6" ht="15" customHeight="1" x14ac:dyDescent="0.35">
      <c r="B22" s="7">
        <f>B13</f>
        <v>5</v>
      </c>
      <c r="C22" s="5" t="str">
        <f>C13</f>
        <v>Coraza — ACERO ASTM A516</v>
      </c>
      <c r="D22" s="48">
        <f>N13/$N$14</f>
        <v>9.2027996949744194E-3</v>
      </c>
      <c r="E22" s="48">
        <f>O13/$O$14</f>
        <v>0.11532113660035855</v>
      </c>
      <c r="F22" s="65"/>
    </row>
    <row r="23" spans="2:6" x14ac:dyDescent="0.35">
      <c r="B23" s="100" t="s">
        <v>232</v>
      </c>
      <c r="C23" s="100"/>
      <c r="D23" s="66">
        <f>N14*O14/3600</f>
        <v>28.520664972213254</v>
      </c>
      <c r="E23" s="67" t="s">
        <v>71</v>
      </c>
      <c r="F23" s="2"/>
    </row>
    <row r="24" spans="2:6" x14ac:dyDescent="0.35">
      <c r="B24" s="17"/>
      <c r="C24" s="17"/>
      <c r="D24" s="68"/>
      <c r="E24" s="42"/>
      <c r="F24" s="2"/>
    </row>
  </sheetData>
  <mergeCells count="48">
    <mergeCell ref="F4:I4"/>
    <mergeCell ref="J5:J6"/>
    <mergeCell ref="K5:K6"/>
    <mergeCell ref="L5:L6"/>
    <mergeCell ref="M5:M6"/>
    <mergeCell ref="F5:I5"/>
    <mergeCell ref="F6:I6"/>
    <mergeCell ref="P5:P6"/>
    <mergeCell ref="B7:B8"/>
    <mergeCell ref="C7:C8"/>
    <mergeCell ref="D7:D8"/>
    <mergeCell ref="E7:E8"/>
    <mergeCell ref="J7:J8"/>
    <mergeCell ref="K7:K8"/>
    <mergeCell ref="L7:L8"/>
    <mergeCell ref="M7:M8"/>
    <mergeCell ref="N7:N8"/>
    <mergeCell ref="E5:E6"/>
    <mergeCell ref="N5:N6"/>
    <mergeCell ref="O5:O6"/>
    <mergeCell ref="O7:O8"/>
    <mergeCell ref="B5:B6"/>
    <mergeCell ref="C5:C6"/>
    <mergeCell ref="D5:D6"/>
    <mergeCell ref="P7:P8"/>
    <mergeCell ref="B9:B10"/>
    <mergeCell ref="C9:C10"/>
    <mergeCell ref="D9:D10"/>
    <mergeCell ref="E9:E10"/>
    <mergeCell ref="J9:J10"/>
    <mergeCell ref="K9:K10"/>
    <mergeCell ref="L9:L10"/>
    <mergeCell ref="M9:M10"/>
    <mergeCell ref="N9:N10"/>
    <mergeCell ref="O11:O12"/>
    <mergeCell ref="P11:P12"/>
    <mergeCell ref="B23:C23"/>
    <mergeCell ref="O9:O10"/>
    <mergeCell ref="P9:P10"/>
    <mergeCell ref="B11:B12"/>
    <mergeCell ref="C11:C12"/>
    <mergeCell ref="D11:D12"/>
    <mergeCell ref="E11:E12"/>
    <mergeCell ref="J11:J12"/>
    <mergeCell ref="K11:K12"/>
    <mergeCell ref="L11:L12"/>
    <mergeCell ref="M11:M12"/>
    <mergeCell ref="N11:N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6D90-098D-4106-B088-B3D8CF3D0C36}">
  <dimension ref="B2:G32"/>
  <sheetViews>
    <sheetView showGridLines="0" zoomScaleNormal="100" workbookViewId="0">
      <selection activeCell="I28" sqref="I28"/>
    </sheetView>
  </sheetViews>
  <sheetFormatPr baseColWidth="10" defaultColWidth="8.6328125" defaultRowHeight="14.5" x14ac:dyDescent="0.35"/>
  <cols>
    <col min="2" max="2" width="22.7265625" customWidth="1"/>
    <col min="3" max="3" width="15" customWidth="1"/>
    <col min="4" max="4" width="18.6328125" customWidth="1"/>
    <col min="5" max="7" width="15" customWidth="1"/>
  </cols>
  <sheetData>
    <row r="2" spans="2:7" ht="17.399999999999999" customHeight="1" x14ac:dyDescent="0.4">
      <c r="B2" s="1" t="s">
        <v>215</v>
      </c>
    </row>
    <row r="3" spans="2:7" ht="15" customHeight="1" x14ac:dyDescent="0.35">
      <c r="B3" s="2" t="s">
        <v>214</v>
      </c>
    </row>
    <row r="4" spans="2:7" ht="31.5" customHeight="1" x14ac:dyDescent="0.35">
      <c r="B4" s="4" t="s">
        <v>42</v>
      </c>
      <c r="C4" s="4" t="s">
        <v>46</v>
      </c>
      <c r="D4" s="4" t="s">
        <v>47</v>
      </c>
      <c r="E4" s="4" t="s">
        <v>48</v>
      </c>
      <c r="F4" s="4" t="s">
        <v>49</v>
      </c>
      <c r="G4" s="4" t="s">
        <v>50</v>
      </c>
    </row>
    <row r="5" spans="2:7" ht="15" customHeight="1" x14ac:dyDescent="0.35">
      <c r="B5" s="47">
        <f>'Cp - Constituyentes'!B5</f>
        <v>25</v>
      </c>
      <c r="C5" s="43">
        <f>SUMPRODUCT('CQ''s'!$D$13:$L$13,'Cp - Constituyentes'!$D5:$L5)</f>
        <v>895.24088257432413</v>
      </c>
      <c r="D5" s="43">
        <f>SUMPRODUCT('CQ''s'!$D$14:$L$14,'Cp - Constituyentes'!$D5:$L5)</f>
        <v>763.94661028613859</v>
      </c>
      <c r="E5" s="43">
        <f>SUMPRODUCT('CQ''s'!$D$15:$L$15,'Cp - Constituyentes'!$D5:$L5)</f>
        <v>759.49602796495572</v>
      </c>
      <c r="F5" s="43">
        <f>SUMPRODUCT('CQ''s'!$D$16:$L$16,'Cp - Constituyentes'!$D5:$L5)</f>
        <v>797.99542351426851</v>
      </c>
      <c r="G5" s="34">
        <v>434</v>
      </c>
    </row>
    <row r="6" spans="2:7" ht="15" customHeight="1" x14ac:dyDescent="0.35">
      <c r="B6" s="47">
        <f>'Cp - Constituyentes'!B6</f>
        <v>100</v>
      </c>
      <c r="C6" s="43">
        <f>SUMPRODUCT('CQ''s'!$D$13:$L$13,'Cp - Constituyentes'!$D6:$L6)</f>
        <v>1034.7811802744013</v>
      </c>
      <c r="D6" s="43">
        <f>SUMPRODUCT('CQ''s'!$D$14:$L$14,'Cp - Constituyentes'!$D6:$L6)</f>
        <v>911.35069227412282</v>
      </c>
      <c r="E6" s="43">
        <f>SUMPRODUCT('CQ''s'!$D$15:$L$15,'Cp - Constituyentes'!$D6:$L6)</f>
        <v>901.81727470810461</v>
      </c>
      <c r="F6" s="43">
        <f>SUMPRODUCT('CQ''s'!$D$16:$L$16,'Cp - Constituyentes'!$D6:$L6)</f>
        <v>909.43231239288559</v>
      </c>
      <c r="G6" s="34">
        <v>470</v>
      </c>
    </row>
    <row r="7" spans="2:7" ht="15" customHeight="1" x14ac:dyDescent="0.35">
      <c r="B7" s="47">
        <f>'Cp - Constituyentes'!B7</f>
        <v>200</v>
      </c>
      <c r="C7" s="43">
        <f>SUMPRODUCT('CQ''s'!$D$13:$L$13,'Cp - Constituyentes'!$D7:$L7)</f>
        <v>1133.506717792018</v>
      </c>
      <c r="D7" s="43">
        <f>SUMPRODUCT('CQ''s'!$D$14:$L$14,'Cp - Constituyentes'!$D7:$L7)</f>
        <v>1018.0700146071302</v>
      </c>
      <c r="E7" s="43">
        <f>SUMPRODUCT('CQ''s'!$D$15:$L$15,'Cp - Constituyentes'!$D7:$L7)</f>
        <v>1008.6947999476406</v>
      </c>
      <c r="F7" s="43">
        <f>SUMPRODUCT('CQ''s'!$D$16:$L$16,'Cp - Constituyentes'!$D7:$L7)</f>
        <v>1000.9649312023586</v>
      </c>
      <c r="G7" s="34">
        <v>510</v>
      </c>
    </row>
    <row r="8" spans="2:7" ht="15" customHeight="1" x14ac:dyDescent="0.35">
      <c r="B8" s="47">
        <f>'Cp - Constituyentes'!B8</f>
        <v>300</v>
      </c>
      <c r="C8" s="43">
        <f>SUMPRODUCT('CQ''s'!$D$13:$L$13,'Cp - Constituyentes'!$D8:$L8)</f>
        <v>1190.5695692896047</v>
      </c>
      <c r="D8" s="43">
        <f>SUMPRODUCT('CQ''s'!$D$14:$L$14,'Cp - Constituyentes'!$D8:$L8)</f>
        <v>1081.9381158379185</v>
      </c>
      <c r="E8" s="43">
        <f>SUMPRODUCT('CQ''s'!$D$15:$L$15,'Cp - Constituyentes'!$D8:$L8)</f>
        <v>1076.0298169697144</v>
      </c>
      <c r="F8" s="43">
        <f>SUMPRODUCT('CQ''s'!$D$16:$L$16,'Cp - Constituyentes'!$D8:$L8)</f>
        <v>1065.280084681832</v>
      </c>
      <c r="G8" s="34">
        <v>550</v>
      </c>
    </row>
    <row r="9" spans="2:7" ht="15" customHeight="1" x14ac:dyDescent="0.35">
      <c r="B9" s="47">
        <f>'Cp - Constituyentes'!B9</f>
        <v>400</v>
      </c>
      <c r="C9" s="43">
        <f>SUMPRODUCT('CQ''s'!$D$13:$L$13,'Cp - Constituyentes'!$D9:$L9)</f>
        <v>1228.7561983771518</v>
      </c>
      <c r="D9" s="43">
        <f>SUMPRODUCT('CQ''s'!$D$14:$L$14,'Cp - Constituyentes'!$D9:$L9)</f>
        <v>1126.3915019522035</v>
      </c>
      <c r="E9" s="43">
        <f>SUMPRODUCT('CQ''s'!$D$15:$L$15,'Cp - Constituyentes'!$D9:$L9)</f>
        <v>1125.4492060986483</v>
      </c>
      <c r="F9" s="43">
        <f>SUMPRODUCT('CQ''s'!$D$16:$L$16,'Cp - Constituyentes'!$D9:$L9)</f>
        <v>1117.2637497700002</v>
      </c>
      <c r="G9" s="34">
        <v>590</v>
      </c>
    </row>
    <row r="10" spans="2:7" ht="15" customHeight="1" x14ac:dyDescent="0.35">
      <c r="B10" s="47">
        <f>'Cp - Constituyentes'!B10</f>
        <v>500</v>
      </c>
      <c r="C10" s="43">
        <f>SUMPRODUCT('CQ''s'!$D$13:$L$13,'Cp - Constituyentes'!$D10:$L10)</f>
        <v>1257.1638121454644</v>
      </c>
      <c r="D10" s="43">
        <f>SUMPRODUCT('CQ''s'!$D$14:$L$14,'Cp - Constituyentes'!$D10:$L10)</f>
        <v>1160.7869012289366</v>
      </c>
      <c r="E10" s="43">
        <f>SUMPRODUCT('CQ''s'!$D$15:$L$15,'Cp - Constituyentes'!$D10:$L10)</f>
        <v>1165.5872254802348</v>
      </c>
      <c r="F10" s="43">
        <f>SUMPRODUCT('CQ''s'!$D$16:$L$16,'Cp - Constituyentes'!$D10:$L10)</f>
        <v>1162.8589642843181</v>
      </c>
      <c r="G10" s="34">
        <v>640</v>
      </c>
    </row>
    <row r="11" spans="2:7" ht="15" customHeight="1" x14ac:dyDescent="0.35">
      <c r="B11" s="47">
        <f>'Cp - Constituyentes'!B11</f>
        <v>600</v>
      </c>
      <c r="C11" s="43">
        <f>SUMPRODUCT('CQ''s'!$D$13:$L$13,'Cp - Constituyentes'!$D11:$L11)</f>
        <v>1279.0380845215388</v>
      </c>
      <c r="D11" s="43">
        <f>SUMPRODUCT('CQ''s'!$D$14:$L$14,'Cp - Constituyentes'!$D11:$L11)</f>
        <v>1172.1308858119212</v>
      </c>
      <c r="E11" s="43">
        <f>SUMPRODUCT('CQ''s'!$D$15:$L$15,'Cp - Constituyentes'!$D11:$L11)</f>
        <v>1162.8042165359775</v>
      </c>
      <c r="F11" s="43">
        <f>SUMPRODUCT('CQ''s'!$D$16:$L$16,'Cp - Constituyentes'!$D11:$L11)</f>
        <v>1143.3900221550698</v>
      </c>
      <c r="G11" s="34">
        <v>700</v>
      </c>
    </row>
    <row r="12" spans="2:7" ht="15" customHeight="1" x14ac:dyDescent="0.35">
      <c r="B12" s="47">
        <f>'Cp - Constituyentes'!B12</f>
        <v>700</v>
      </c>
      <c r="C12" s="43">
        <f>SUMPRODUCT('CQ''s'!$D$13:$L$13,'Cp - Constituyentes'!$D12:$L12)</f>
        <v>1298.0514581587386</v>
      </c>
      <c r="D12" s="43">
        <f>SUMPRODUCT('CQ''s'!$D$14:$L$14,'Cp - Constituyentes'!$D12:$L12)</f>
        <v>1190.8107921313756</v>
      </c>
      <c r="E12" s="43">
        <f>SUMPRODUCT('CQ''s'!$D$15:$L$15,'Cp - Constituyentes'!$D12:$L12)</f>
        <v>1180.6070806117937</v>
      </c>
      <c r="F12" s="43">
        <f>SUMPRODUCT('CQ''s'!$D$16:$L$16,'Cp - Constituyentes'!$D12:$L12)</f>
        <v>1160.048099508741</v>
      </c>
      <c r="G12" s="34">
        <v>800</v>
      </c>
    </row>
    <row r="13" spans="2:7" ht="15" customHeight="1" x14ac:dyDescent="0.35">
      <c r="B13" s="47">
        <f>'Cp - Constituyentes'!B13</f>
        <v>800</v>
      </c>
      <c r="C13" s="43">
        <f>SUMPRODUCT('CQ''s'!$D$13:$L$13,'Cp - Constituyentes'!$D13:$L13)</f>
        <v>1314.6341887350884</v>
      </c>
      <c r="D13" s="43">
        <f>SUMPRODUCT('CQ''s'!$D$14:$L$14,'Cp - Constituyentes'!$D13:$L13)</f>
        <v>1206.6763708056749</v>
      </c>
      <c r="E13" s="43">
        <f>SUMPRODUCT('CQ''s'!$D$15:$L$15,'Cp - Constituyentes'!$D13:$L13)</f>
        <v>1196.02515895478</v>
      </c>
      <c r="F13" s="43">
        <f>SUMPRODUCT('CQ''s'!$D$16:$L$16,'Cp - Constituyentes'!$D13:$L13)</f>
        <v>1173.0719174680173</v>
      </c>
      <c r="G13" s="34">
        <v>900</v>
      </c>
    </row>
    <row r="14" spans="2:7" ht="15" customHeight="1" x14ac:dyDescent="0.35">
      <c r="B14" s="47">
        <f>'Cp - Constituyentes'!B14</f>
        <v>900</v>
      </c>
      <c r="C14" s="43">
        <f>SUMPRODUCT('CQ''s'!$D$13:$L$13,'Cp - Constituyentes'!$D14:$L14)</f>
        <v>1329.7459149108206</v>
      </c>
      <c r="D14" s="43">
        <f>SUMPRODUCT('CQ''s'!$D$14:$L$14,'Cp - Constituyentes'!$D14:$L14)</f>
        <v>1221.1395898219996</v>
      </c>
      <c r="E14" s="43">
        <f>SUMPRODUCT('CQ''s'!$D$15:$L$15,'Cp - Constituyentes'!$D14:$L14)</f>
        <v>1210.2888489985255</v>
      </c>
      <c r="F14" s="43">
        <f>SUMPRODUCT('CQ''s'!$D$16:$L$16,'Cp - Constituyentes'!$D14:$L14)</f>
        <v>1185.556167415994</v>
      </c>
      <c r="G14" s="34">
        <v>650</v>
      </c>
    </row>
    <row r="15" spans="2:7" ht="15" customHeight="1" x14ac:dyDescent="0.35">
      <c r="B15" s="47">
        <f>'Cp - Constituyentes'!B15</f>
        <v>1000</v>
      </c>
      <c r="C15" s="43">
        <f>SUMPRODUCT('CQ''s'!$D$13:$L$13,'Cp - Constituyentes'!$D15:$L15)</f>
        <v>1343.8300831005449</v>
      </c>
      <c r="D15" s="43">
        <f>SUMPRODUCT('CQ''s'!$D$14:$L$14,'Cp - Constituyentes'!$D15:$L15)</f>
        <v>1234.6232020708651</v>
      </c>
      <c r="E15" s="43">
        <f>SUMPRODUCT('CQ''s'!$D$15:$L$15,'Cp - Constituyentes'!$D15:$L15)</f>
        <v>1223.7461506213119</v>
      </c>
      <c r="F15" s="43">
        <f>SUMPRODUCT('CQ''s'!$D$16:$L$16,'Cp - Constituyentes'!$D15:$L15)</f>
        <v>1197.6635065819416</v>
      </c>
      <c r="G15" s="34">
        <v>655</v>
      </c>
    </row>
    <row r="16" spans="2:7" ht="15" customHeight="1" x14ac:dyDescent="0.35">
      <c r="B16" s="47">
        <f>'Cp - Constituyentes'!B16</f>
        <v>1100</v>
      </c>
      <c r="C16" s="43">
        <f>SUMPRODUCT('CQ''s'!$D$13:$L$13,'Cp - Constituyentes'!$D16:$L16)</f>
        <v>1357.1748122119354</v>
      </c>
      <c r="D16" s="43">
        <f>SUMPRODUCT('CQ''s'!$D$14:$L$14,'Cp - Constituyentes'!$D16:$L16)</f>
        <v>1247.4018813279929</v>
      </c>
      <c r="E16" s="43">
        <f>SUMPRODUCT('CQ''s'!$D$15:$L$15,'Cp - Constituyentes'!$D16:$L16)</f>
        <v>1236.623168582355</v>
      </c>
      <c r="F16" s="43">
        <f>SUMPRODUCT('CQ''s'!$D$16:$L$16,'Cp - Constituyentes'!$D16:$L16)</f>
        <v>1209.499617685753</v>
      </c>
      <c r="G16" s="34">
        <v>665</v>
      </c>
    </row>
    <row r="17" spans="2:7" ht="15" customHeight="1" x14ac:dyDescent="0.35">
      <c r="B17" s="47">
        <f>'Cp - Constituyentes'!B17</f>
        <v>1200</v>
      </c>
      <c r="C17" s="43">
        <f>SUMPRODUCT('CQ''s'!$D$13:$L$13,'Cp - Constituyentes'!$D17:$L17)</f>
        <v>1369.9738865643976</v>
      </c>
      <c r="D17" s="43">
        <f>SUMPRODUCT('CQ''s'!$D$14:$L$14,'Cp - Constituyentes'!$D17:$L17)</f>
        <v>1259.660368925068</v>
      </c>
      <c r="E17" s="43">
        <f>SUMPRODUCT('CQ''s'!$D$15:$L$15,'Cp - Constituyentes'!$D17:$L17)</f>
        <v>1249.071977444318</v>
      </c>
      <c r="F17" s="43">
        <f>SUMPRODUCT('CQ''s'!$D$16:$L$16,'Cp - Constituyentes'!$D17:$L17)</f>
        <v>1220.1130558063617</v>
      </c>
      <c r="G17" s="34">
        <v>675</v>
      </c>
    </row>
    <row r="18" spans="2:7" ht="15" customHeight="1" x14ac:dyDescent="0.35">
      <c r="B18" s="47">
        <f>'Cp - Constituyentes'!B18</f>
        <v>1300</v>
      </c>
      <c r="C18" s="43">
        <f>SUMPRODUCT('CQ''s'!$D$13:$L$13,'Cp - Constituyentes'!$D18:$L18)</f>
        <v>1382.3615311899046</v>
      </c>
      <c r="D18" s="43">
        <f>SUMPRODUCT('CQ''s'!$D$14:$L$14,'Cp - Constituyentes'!$D18:$L18)</f>
        <v>1271.5266262535374</v>
      </c>
      <c r="E18" s="43">
        <f>SUMPRODUCT('CQ''s'!$D$15:$L$15,'Cp - Constituyentes'!$D18:$L18)</f>
        <v>1261.1979119066143</v>
      </c>
      <c r="F18" s="43">
        <f>SUMPRODUCT('CQ''s'!$D$16:$L$16,'Cp - Constituyentes'!$D18:$L18)</f>
        <v>1230.2032953735331</v>
      </c>
      <c r="G18" s="34">
        <v>685</v>
      </c>
    </row>
    <row r="19" spans="2:7" ht="15" customHeight="1" x14ac:dyDescent="0.35">
      <c r="B19" s="47">
        <f>'Cp - Constituyentes'!B19</f>
        <v>1400</v>
      </c>
      <c r="C19" s="43">
        <f>SUMPRODUCT('CQ''s'!$D$13:$L$13,'Cp - Constituyentes'!$D19:$L19)</f>
        <v>1394.433100606936</v>
      </c>
      <c r="D19" s="43">
        <f>SUMPRODUCT('CQ''s'!$D$14:$L$14,'Cp - Constituyentes'!$D19:$L19)</f>
        <v>1283.0915580923854</v>
      </c>
      <c r="E19" s="43">
        <f>SUMPRODUCT('CQ''s'!$D$15:$L$15,'Cp - Constituyentes'!$D19:$L19)</f>
        <v>1273.0758025682314</v>
      </c>
      <c r="F19" s="43">
        <f>SUMPRODUCT('CQ''s'!$D$16:$L$16,'Cp - Constituyentes'!$D19:$L19)</f>
        <v>1240.180364268673</v>
      </c>
      <c r="G19" s="34">
        <v>690</v>
      </c>
    </row>
    <row r="20" spans="2:7" ht="15" customHeight="1" x14ac:dyDescent="0.35">
      <c r="B20" s="47">
        <f>'Cp - Constituyentes'!B20</f>
        <v>1500</v>
      </c>
      <c r="C20" s="43">
        <f>SUMPRODUCT('CQ''s'!$D$13:$L$13,'Cp - Constituyentes'!$D20:$L20)</f>
        <v>1406.1826225142274</v>
      </c>
      <c r="D20" s="43">
        <f>SUMPRODUCT('CQ''s'!$D$14:$L$14,'Cp - Constituyentes'!$D20:$L20)</f>
        <v>1293.070593655495</v>
      </c>
      <c r="E20" s="43">
        <f>SUMPRODUCT('CQ''s'!$D$15:$L$15,'Cp - Constituyentes'!$D20:$L20)</f>
        <v>1281.8258909771171</v>
      </c>
      <c r="F20" s="43">
        <f>SUMPRODUCT('CQ''s'!$D$16:$L$16,'Cp - Constituyentes'!$D20:$L20)</f>
        <v>1245.2802481516869</v>
      </c>
      <c r="G20" s="34">
        <v>695</v>
      </c>
    </row>
    <row r="21" spans="2:7" ht="15" customHeight="1" x14ac:dyDescent="0.35">
      <c r="B21" s="47">
        <f>'Cp - Constituyentes'!B21</f>
        <v>1600</v>
      </c>
      <c r="C21" s="43">
        <f>SUMPRODUCT('CQ''s'!$D$13:$L$13,'Cp - Constituyentes'!$D21:$L21)</f>
        <v>1417.7143128318128</v>
      </c>
      <c r="D21" s="43">
        <f>SUMPRODUCT('CQ''s'!$D$14:$L$14,'Cp - Constituyentes'!$D21:$L21)</f>
        <v>1302.4631897009763</v>
      </c>
      <c r="E21" s="43">
        <f>SUMPRODUCT('CQ''s'!$D$15:$L$15,'Cp - Constituyentes'!$D21:$L21)</f>
        <v>1289.5535054240836</v>
      </c>
      <c r="F21" s="43">
        <f>SUMPRODUCT('CQ''s'!$D$16:$L$16,'Cp - Constituyentes'!$D21:$L21)</f>
        <v>1248.8917827657074</v>
      </c>
      <c r="G21" s="34">
        <v>700</v>
      </c>
    </row>
    <row r="23" spans="2:7" ht="15" customHeight="1" x14ac:dyDescent="0.35">
      <c r="B23" s="3" t="s">
        <v>52</v>
      </c>
    </row>
    <row r="24" spans="2:7" ht="26.9" customHeight="1" x14ac:dyDescent="0.35">
      <c r="B24" s="4" t="s">
        <v>53</v>
      </c>
      <c r="C24" s="4" t="s">
        <v>54</v>
      </c>
      <c r="D24" s="4" t="s">
        <v>55</v>
      </c>
      <c r="E24" s="4" t="s">
        <v>56</v>
      </c>
      <c r="F24" s="4" t="s">
        <v>57</v>
      </c>
      <c r="G24" s="4" t="s">
        <v>58</v>
      </c>
    </row>
    <row r="25" spans="2:7" ht="15" customHeight="1" x14ac:dyDescent="0.35">
      <c r="B25" s="5" t="s">
        <v>218</v>
      </c>
      <c r="C25" s="43">
        <f>C18</f>
        <v>1382.3615311899046</v>
      </c>
      <c r="D25" s="43">
        <f>D18</f>
        <v>1271.5266262535374</v>
      </c>
      <c r="E25" s="43">
        <f>E18</f>
        <v>1261.1979119066143</v>
      </c>
      <c r="F25" s="43">
        <f>F18</f>
        <v>1230.2032953735331</v>
      </c>
      <c r="G25" s="45" t="s">
        <v>59</v>
      </c>
    </row>
    <row r="26" spans="2:7" ht="15" customHeight="1" x14ac:dyDescent="0.35">
      <c r="B26" s="5" t="s">
        <v>44</v>
      </c>
      <c r="C26" s="43">
        <f>SUMPRODUCT('CQ''s'!$D$13:$L$13,'Cp - Constituyentes'!$D$23:$L$23)</f>
        <v>1313.8793038599119</v>
      </c>
      <c r="D26" s="43">
        <f>SUMPRODUCT('CQ''s'!$D$14:$L$14,'Cp - Constituyentes'!$D$23:$L$23)</f>
        <v>1208.3324432644743</v>
      </c>
      <c r="E26" s="43">
        <f>SUMPRODUCT('CQ''s'!$D$15:$L$15,'Cp - Constituyentes'!$D$23:$L$23)</f>
        <v>1213.8437023156253</v>
      </c>
      <c r="F26" s="43">
        <f>SUMPRODUCT('CQ''s'!$D$16:$L$16,'Cp - Constituyentes'!$D$23:$L$23)</f>
        <v>1173.1804797651259</v>
      </c>
      <c r="G26" s="45" t="s">
        <v>59</v>
      </c>
    </row>
    <row r="27" spans="2:7" ht="15" customHeight="1" x14ac:dyDescent="0.35">
      <c r="B27" s="5" t="s">
        <v>60</v>
      </c>
      <c r="C27" s="48">
        <f>C25/C26-1</f>
        <v>5.21221600255104E-2</v>
      </c>
      <c r="D27" s="48">
        <f>D25/D26-1</f>
        <v>5.2298672721503348E-2</v>
      </c>
      <c r="E27" s="48">
        <f>E25/E26-1</f>
        <v>3.9011785043372882E-2</v>
      </c>
      <c r="F27" s="48">
        <f>F25/F26-1</f>
        <v>4.8605322533002981E-2</v>
      </c>
      <c r="G27" s="41"/>
    </row>
    <row r="28" spans="2:7" ht="15" customHeight="1" x14ac:dyDescent="0.35">
      <c r="B28" s="11" t="s">
        <v>216</v>
      </c>
      <c r="C28" s="49" t="str">
        <f>IF(AND(C27&gt;=-0.02,C27&lt;=0.15),"OK","REVISAR")</f>
        <v>OK</v>
      </c>
      <c r="D28" s="49" t="str">
        <f>IF(AND(D27&gt;=-0.02,D27&lt;=0.15),"OK","REVISAR")</f>
        <v>OK</v>
      </c>
      <c r="E28" s="49" t="str">
        <f>IF(AND(E27&gt;=-0.02,E27&lt;=0.15),"OK","REVISAR")</f>
        <v>OK</v>
      </c>
      <c r="F28" s="49" t="str">
        <f>IF(AND(F27&gt;=-0.02,F27&lt;=0.15),"OK","REVISAR")</f>
        <v>OK</v>
      </c>
      <c r="G28" s="41"/>
    </row>
    <row r="29" spans="2:7" ht="15" customHeight="1" x14ac:dyDescent="0.35">
      <c r="B29" s="11" t="s">
        <v>217</v>
      </c>
      <c r="C29" s="50">
        <f>AVERAGE(C9:C18)</f>
        <v>1316.0729969915585</v>
      </c>
      <c r="D29" s="50">
        <f>AVERAGE(D9:D18)</f>
        <v>1209.1148120329576</v>
      </c>
      <c r="E29" s="50">
        <f>AVERAGE(E9:E18)</f>
        <v>1201.1400945234559</v>
      </c>
      <c r="F29" s="50">
        <f>AVERAGE(F9:F18)</f>
        <v>1179.9668396049731</v>
      </c>
      <c r="G29" s="50">
        <f>AVERAGE(G9:G18)</f>
        <v>696</v>
      </c>
    </row>
    <row r="31" spans="2:7" ht="15" customHeight="1" x14ac:dyDescent="0.35">
      <c r="B31" s="2"/>
    </row>
    <row r="32" spans="2:7" ht="15" customHeight="1" x14ac:dyDescent="0.35">
      <c r="B32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AF2B-9521-4253-974C-5D7F918D7D6C}">
  <dimension ref="B2:T50"/>
  <sheetViews>
    <sheetView showGridLines="0" tabSelected="1" topLeftCell="A4" zoomScale="70" zoomScaleNormal="70" workbookViewId="0">
      <selection activeCell="C8" sqref="C8"/>
    </sheetView>
  </sheetViews>
  <sheetFormatPr baseColWidth="10" defaultColWidth="8.6328125" defaultRowHeight="14.5" x14ac:dyDescent="0.35"/>
  <cols>
    <col min="2" max="2" width="32.6328125" customWidth="1"/>
    <col min="3" max="3" width="14.54296875" customWidth="1"/>
    <col min="4" max="5" width="12" customWidth="1"/>
    <col min="6" max="8" width="14" customWidth="1"/>
    <col min="9" max="9" width="30" customWidth="1"/>
    <col min="10" max="10" width="13" customWidth="1"/>
    <col min="11" max="11" width="16" customWidth="1"/>
  </cols>
  <sheetData>
    <row r="2" spans="2:20" ht="17.399999999999999" customHeight="1" x14ac:dyDescent="0.4">
      <c r="B2" s="84" t="s">
        <v>233</v>
      </c>
      <c r="C2" s="85"/>
      <c r="D2" s="85"/>
      <c r="E2" s="85"/>
      <c r="F2" s="85"/>
      <c r="G2" s="85"/>
      <c r="H2" s="85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</row>
    <row r="3" spans="2:20" ht="15" customHeight="1" x14ac:dyDescent="0.35">
      <c r="B3" s="86" t="s">
        <v>234</v>
      </c>
      <c r="C3" s="86"/>
      <c r="D3" s="86"/>
      <c r="E3" s="86"/>
      <c r="F3" s="86"/>
      <c r="G3" s="86"/>
      <c r="H3" s="86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</row>
    <row r="5" spans="2:20" ht="15" customHeight="1" x14ac:dyDescent="0.35">
      <c r="B5" s="3" t="s">
        <v>72</v>
      </c>
    </row>
    <row r="6" spans="2:20" ht="15" customHeight="1" x14ac:dyDescent="0.35">
      <c r="B6" s="5" t="s">
        <v>73</v>
      </c>
      <c r="C6" s="69">
        <v>2.8250000000000002</v>
      </c>
      <c r="D6" s="2"/>
    </row>
    <row r="7" spans="2:20" ht="15" customHeight="1" x14ac:dyDescent="0.35">
      <c r="B7" s="5" t="s">
        <v>74</v>
      </c>
      <c r="C7" s="74">
        <v>1.26</v>
      </c>
      <c r="D7" s="2"/>
    </row>
    <row r="8" spans="2:20" ht="15" customHeight="1" x14ac:dyDescent="0.35">
      <c r="B8" s="5" t="s">
        <v>75</v>
      </c>
      <c r="C8" s="34">
        <v>1562</v>
      </c>
      <c r="D8" s="2"/>
    </row>
    <row r="9" spans="2:20" ht="15" customHeight="1" x14ac:dyDescent="0.35">
      <c r="B9" s="5" t="s">
        <v>76</v>
      </c>
      <c r="C9" s="34">
        <v>1000</v>
      </c>
      <c r="D9" s="2"/>
    </row>
    <row r="10" spans="2:20" ht="15" customHeight="1" x14ac:dyDescent="0.35">
      <c r="B10" s="5" t="s">
        <v>77</v>
      </c>
      <c r="C10" s="34">
        <v>35</v>
      </c>
      <c r="D10" s="2"/>
    </row>
    <row r="11" spans="2:20" ht="15" customHeight="1" x14ac:dyDescent="0.35">
      <c r="B11" s="5" t="s">
        <v>78</v>
      </c>
      <c r="C11" s="81">
        <v>33</v>
      </c>
      <c r="D11" s="2"/>
    </row>
    <row r="13" spans="2:20" ht="15" customHeight="1" x14ac:dyDescent="0.35">
      <c r="B13" s="3" t="s">
        <v>79</v>
      </c>
    </row>
    <row r="14" spans="2:20" ht="26.9" customHeight="1" x14ac:dyDescent="0.35">
      <c r="B14" s="4" t="s">
        <v>33</v>
      </c>
      <c r="C14" s="4" t="s">
        <v>63</v>
      </c>
      <c r="D14" s="4" t="s">
        <v>80</v>
      </c>
      <c r="E14" s="4" t="s">
        <v>81</v>
      </c>
      <c r="F14" s="4" t="s">
        <v>82</v>
      </c>
      <c r="G14" s="4" t="s">
        <v>83</v>
      </c>
      <c r="H14" s="4" t="s">
        <v>84</v>
      </c>
    </row>
    <row r="15" spans="2:20" ht="15" customHeight="1" x14ac:dyDescent="0.35">
      <c r="B15" s="5" t="s">
        <v>85</v>
      </c>
      <c r="D15" s="10">
        <f>C6</f>
        <v>2.8250000000000002</v>
      </c>
      <c r="F15" s="41"/>
      <c r="G15" s="73">
        <f>1/(2*PI()*C6*C9)</f>
        <v>5.6338032952883303E-5</v>
      </c>
      <c r="H15" s="47">
        <f>C8</f>
        <v>1562</v>
      </c>
      <c r="I15" s="2"/>
    </row>
    <row r="16" spans="2:20" ht="15" customHeight="1" x14ac:dyDescent="0.35">
      <c r="B16" s="19" t="str">
        <f>'Propiedades - Capa'!C5</f>
        <v>Trabajo — ANCARBON C F5L10</v>
      </c>
      <c r="C16" s="20">
        <f>'Propiedades - Capa'!D5</f>
        <v>127</v>
      </c>
      <c r="D16" s="10">
        <f>C6</f>
        <v>2.8250000000000002</v>
      </c>
      <c r="E16" s="10">
        <f>D16+C16/1000</f>
        <v>2.952</v>
      </c>
      <c r="F16" s="72">
        <f>'Propiedades - Capa'!J5</f>
        <v>7.5</v>
      </c>
      <c r="G16" s="73">
        <f>LN(E16/D16)/(2*PI()*F16)</f>
        <v>9.3316876690073157E-4</v>
      </c>
      <c r="H16" s="82">
        <f t="shared" ref="H16:H21" si="0">H15-$C$25*G15</f>
        <v>1550.1515408820601</v>
      </c>
      <c r="I16" s="2"/>
    </row>
    <row r="17" spans="2:9" ht="15" customHeight="1" x14ac:dyDescent="0.35">
      <c r="B17" s="19" t="str">
        <f>'Propiedades - Capa'!C7</f>
        <v>Junta de sello — COMPAC DRY B83P</v>
      </c>
      <c r="C17" s="20">
        <f>'Propiedades - Capa'!D7</f>
        <v>13</v>
      </c>
      <c r="D17" s="10">
        <f>E16</f>
        <v>2.952</v>
      </c>
      <c r="E17" s="10">
        <f>D17+C17/1000</f>
        <v>2.9649999999999999</v>
      </c>
      <c r="F17" s="72">
        <f>'Propiedades - Capa'!J7</f>
        <v>1.6666666666666667</v>
      </c>
      <c r="G17" s="73">
        <f>LN(E17/D17)/(2*PI()*F17)</f>
        <v>4.1960809652789546E-4</v>
      </c>
      <c r="H17" s="82">
        <f t="shared" si="0"/>
        <v>1353.8966948172595</v>
      </c>
    </row>
    <row r="18" spans="2:9" ht="15" customHeight="1" x14ac:dyDescent="0.35">
      <c r="B18" s="19" t="str">
        <f>'Propiedades - Capa'!C9</f>
        <v>Seguridad — RESISTAL B65</v>
      </c>
      <c r="C18" s="20">
        <f>'Propiedades - Capa'!D9</f>
        <v>76</v>
      </c>
      <c r="D18" s="10">
        <f>E17</f>
        <v>2.9649999999999999</v>
      </c>
      <c r="E18" s="10">
        <f>D18+C18/1000</f>
        <v>3.0409999999999999</v>
      </c>
      <c r="F18" s="72">
        <f>'Propiedades - Capa'!J9</f>
        <v>1.9025000000000001</v>
      </c>
      <c r="G18" s="73">
        <f>LN(E18/D18)/(2*PI()*F18)</f>
        <v>2.117273238396901E-3</v>
      </c>
      <c r="H18" s="82">
        <f t="shared" si="0"/>
        <v>1265.6488608642117</v>
      </c>
    </row>
    <row r="19" spans="2:9" ht="15" customHeight="1" x14ac:dyDescent="0.35">
      <c r="B19" s="19" t="str">
        <f>'Propiedades - Capa'!C11</f>
        <v>Aislante — SKAMOL VIP 12 HT</v>
      </c>
      <c r="C19" s="20">
        <f>'Propiedades - Capa'!D11</f>
        <v>13</v>
      </c>
      <c r="D19" s="10">
        <f>E18</f>
        <v>3.0409999999999999</v>
      </c>
      <c r="E19" s="10">
        <f>D19+C19/1000</f>
        <v>3.0539999999999998</v>
      </c>
      <c r="F19" s="72">
        <f>'Propiedades - Capa'!J11</f>
        <v>0.32</v>
      </c>
      <c r="G19" s="73">
        <f>LN(E19/D19)/(2*PI()*F19)</f>
        <v>2.1216339188753017E-3</v>
      </c>
      <c r="H19" s="82">
        <f t="shared" si="0"/>
        <v>820.36484770680556</v>
      </c>
    </row>
    <row r="20" spans="2:9" ht="15" customHeight="1" x14ac:dyDescent="0.35">
      <c r="B20" s="19" t="str">
        <f>'Propiedades - Capa'!C13</f>
        <v>Coraza — ACERO ASTM A516</v>
      </c>
      <c r="C20" s="20">
        <f>'Propiedades - Capa'!D13</f>
        <v>35</v>
      </c>
      <c r="D20" s="10">
        <f>E19</f>
        <v>3.0539999999999998</v>
      </c>
      <c r="E20" s="10">
        <f>D20+C20/1000</f>
        <v>3.089</v>
      </c>
      <c r="F20" s="72">
        <f>'Propiedades - Capa'!J13</f>
        <v>35.299999999999997</v>
      </c>
      <c r="G20" s="73">
        <f>LN(E20/D20)/(2*PI()*F20)</f>
        <v>5.137687093166248E-5</v>
      </c>
      <c r="H20" s="82">
        <f t="shared" si="0"/>
        <v>374.16373926462194</v>
      </c>
      <c r="I20" s="2"/>
    </row>
    <row r="21" spans="2:9" ht="15" customHeight="1" x14ac:dyDescent="0.35">
      <c r="B21" s="5" t="s">
        <v>88</v>
      </c>
      <c r="D21" s="10">
        <f>E20</f>
        <v>3.089</v>
      </c>
      <c r="G21" s="73">
        <f>1/(2*PI()*E20*C11)</f>
        <v>1.5613069159568687E-3</v>
      </c>
      <c r="H21" s="82">
        <f t="shared" si="0"/>
        <v>363.35866278368445</v>
      </c>
      <c r="I21" s="2"/>
    </row>
    <row r="22" spans="2:9" ht="18" customHeight="1" x14ac:dyDescent="0.35">
      <c r="B22" s="75"/>
      <c r="D22" s="76"/>
      <c r="G22" s="77"/>
      <c r="H22" s="78"/>
      <c r="I22" s="2"/>
    </row>
    <row r="23" spans="2:9" ht="15" customHeight="1" x14ac:dyDescent="0.35">
      <c r="B23" s="3" t="s">
        <v>90</v>
      </c>
    </row>
    <row r="24" spans="2:9" ht="15" customHeight="1" x14ac:dyDescent="0.35">
      <c r="B24" s="11" t="s">
        <v>91</v>
      </c>
      <c r="C24" s="22">
        <f>SUM(G15:G21)</f>
        <v>7.2607058405422436E-3</v>
      </c>
      <c r="D24" s="2"/>
    </row>
    <row r="25" spans="2:9" ht="15" customHeight="1" x14ac:dyDescent="0.35">
      <c r="B25" s="11" t="s">
        <v>92</v>
      </c>
      <c r="C25" s="13">
        <f>(C8-C10)/C24</f>
        <v>210310.1314852277</v>
      </c>
      <c r="D25" s="2" t="s">
        <v>93</v>
      </c>
    </row>
    <row r="26" spans="2:9" ht="15" customHeight="1" x14ac:dyDescent="0.35">
      <c r="B26" s="11" t="s">
        <v>94</v>
      </c>
      <c r="C26" s="13">
        <f>C25/(2*PI()*C6)</f>
        <v>11848.459117939979</v>
      </c>
      <c r="D26" s="2"/>
    </row>
    <row r="27" spans="2:9" ht="15" customHeight="1" x14ac:dyDescent="0.35">
      <c r="B27" s="11" t="s">
        <v>95</v>
      </c>
      <c r="C27" s="23">
        <f>C25*C7/1000</f>
        <v>264.9907656713869</v>
      </c>
      <c r="D27" s="2" t="s">
        <v>96</v>
      </c>
    </row>
    <row r="29" spans="2:9" ht="15" customHeight="1" x14ac:dyDescent="0.35">
      <c r="B29" s="2" t="s">
        <v>97</v>
      </c>
    </row>
    <row r="30" spans="2:9" ht="15" customHeight="1" x14ac:dyDescent="0.35">
      <c r="B30" s="2" t="s">
        <v>98</v>
      </c>
    </row>
    <row r="32" spans="2:9" ht="52.25" customHeight="1" x14ac:dyDescent="0.35">
      <c r="B32" s="4" t="s">
        <v>99</v>
      </c>
      <c r="C32" s="4" t="s">
        <v>100</v>
      </c>
      <c r="D32" s="4" t="s">
        <v>101</v>
      </c>
      <c r="E32" s="4" t="s">
        <v>102</v>
      </c>
      <c r="F32" s="4" t="s">
        <v>61</v>
      </c>
    </row>
    <row r="33" spans="2:6" ht="15" customHeight="1" x14ac:dyDescent="0.35">
      <c r="B33" s="5" t="str">
        <f>B16</f>
        <v>Trabajo — ANCARBON C F5L10</v>
      </c>
      <c r="C33" s="43">
        <f>H16</f>
        <v>1550.1515408820601</v>
      </c>
      <c r="D33" s="47">
        <f>'Propiedades - Capa'!P5</f>
        <v>1700</v>
      </c>
      <c r="E33" s="43">
        <f>D33-C33</f>
        <v>149.84845911793991</v>
      </c>
      <c r="F33" s="49" t="str">
        <f>IF(E33&lt;0,"EXCEDE",IF(E33&lt;50,"AL LÍMITE","OK"))</f>
        <v>OK</v>
      </c>
    </row>
    <row r="34" spans="2:6" ht="15" customHeight="1" x14ac:dyDescent="0.35">
      <c r="B34" s="5" t="str">
        <f>B17</f>
        <v>Junta de sello — COMPAC DRY B83P</v>
      </c>
      <c r="C34" s="43">
        <f>H17</f>
        <v>1353.8966948172595</v>
      </c>
      <c r="D34" s="47">
        <f>'Propiedades - Capa'!P7</f>
        <v>1700</v>
      </c>
      <c r="E34" s="43">
        <f>D34-C34</f>
        <v>346.10330518274054</v>
      </c>
      <c r="F34" s="49" t="str">
        <f>IF(E34&lt;0,"EXCEDE",IF(E34&lt;50,"AL LÍMITE","OK"))</f>
        <v>OK</v>
      </c>
    </row>
    <row r="35" spans="2:6" ht="15" customHeight="1" x14ac:dyDescent="0.35">
      <c r="B35" s="5" t="str">
        <f>B18</f>
        <v>Seguridad — RESISTAL B65</v>
      </c>
      <c r="C35" s="43">
        <f>H18</f>
        <v>1265.6488608642117</v>
      </c>
      <c r="D35" s="47">
        <f>'Propiedades - Capa'!P9</f>
        <v>1600</v>
      </c>
      <c r="E35" s="43">
        <f>D35-C35</f>
        <v>334.35113913578834</v>
      </c>
      <c r="F35" s="49" t="str">
        <f>IF(E35&lt;0,"EXCEDE",IF(E35&lt;50,"AL LÍMITE","OK"))</f>
        <v>OK</v>
      </c>
    </row>
    <row r="36" spans="2:6" ht="15" customHeight="1" x14ac:dyDescent="0.35">
      <c r="B36" s="5" t="str">
        <f>B19</f>
        <v>Aislante — SKAMOL VIP 12 HT</v>
      </c>
      <c r="C36" s="43">
        <f>H19</f>
        <v>820.36484770680556</v>
      </c>
      <c r="D36" s="47">
        <f>'Propiedades - Capa'!P11</f>
        <v>1250</v>
      </c>
      <c r="E36" s="43">
        <f>D36-C36</f>
        <v>429.63515229319444</v>
      </c>
      <c r="F36" s="49" t="str">
        <f>IF(E36&lt;0,"EXCEDE",IF(E36&lt;50,"AL LÍMITE","OK"))</f>
        <v>OK</v>
      </c>
    </row>
    <row r="37" spans="2:6" ht="15" customHeight="1" x14ac:dyDescent="0.35">
      <c r="B37" s="5" t="str">
        <f>B20</f>
        <v>Coraza — ACERO ASTM A516</v>
      </c>
      <c r="C37" s="43">
        <f>H20</f>
        <v>374.16373926462194</v>
      </c>
      <c r="D37" s="47">
        <f>'Propiedades - Capa'!P13</f>
        <v>450</v>
      </c>
      <c r="E37" s="43">
        <f>D37-C37</f>
        <v>75.836260735378062</v>
      </c>
      <c r="F37" s="49" t="str">
        <f>IF(E37&lt;0,"EXCEDE",IF(E37&lt;50,"AL LÍMITE","OK"))</f>
        <v>OK</v>
      </c>
    </row>
    <row r="39" spans="2:6" ht="15" customHeight="1" x14ac:dyDescent="0.35">
      <c r="B39" s="2" t="s">
        <v>103</v>
      </c>
    </row>
    <row r="41" spans="2:6" x14ac:dyDescent="0.35">
      <c r="B41" s="30" t="s">
        <v>104</v>
      </c>
    </row>
    <row r="42" spans="2:6" x14ac:dyDescent="0.35">
      <c r="B42" s="31" t="s">
        <v>105</v>
      </c>
      <c r="C42" s="31" t="s">
        <v>106</v>
      </c>
      <c r="D42" s="31" t="s">
        <v>42</v>
      </c>
    </row>
    <row r="43" spans="2:6" x14ac:dyDescent="0.35">
      <c r="B43" t="s">
        <v>89</v>
      </c>
      <c r="C43" s="41">
        <v>0</v>
      </c>
      <c r="D43" s="80">
        <f>H21</f>
        <v>363.35866278368445</v>
      </c>
    </row>
    <row r="44" spans="2:6" x14ac:dyDescent="0.35">
      <c r="B44" t="s">
        <v>87</v>
      </c>
      <c r="C44" s="79">
        <f>C43+C20/1000</f>
        <v>3.5000000000000003E-2</v>
      </c>
      <c r="D44" s="80">
        <f>H20</f>
        <v>374.16373926462194</v>
      </c>
    </row>
    <row r="45" spans="2:6" x14ac:dyDescent="0.35">
      <c r="B45" t="s">
        <v>107</v>
      </c>
      <c r="C45" s="79">
        <f>C44+C19/1000</f>
        <v>4.8000000000000001E-2</v>
      </c>
      <c r="D45" s="80">
        <f>H19</f>
        <v>820.36484770680556</v>
      </c>
    </row>
    <row r="46" spans="2:6" x14ac:dyDescent="0.35">
      <c r="B46" t="s">
        <v>108</v>
      </c>
      <c r="C46" s="79">
        <f>C45+C18/1000</f>
        <v>0.124</v>
      </c>
      <c r="D46" s="80">
        <f>H18</f>
        <v>1265.6488608642117</v>
      </c>
    </row>
    <row r="47" spans="2:6" x14ac:dyDescent="0.35">
      <c r="B47" t="s">
        <v>109</v>
      </c>
      <c r="C47" s="79">
        <f>C46+C17/1000</f>
        <v>0.13700000000000001</v>
      </c>
      <c r="D47" s="80">
        <f>H17</f>
        <v>1353.8966948172595</v>
      </c>
    </row>
    <row r="48" spans="2:6" x14ac:dyDescent="0.35">
      <c r="B48" t="s">
        <v>86</v>
      </c>
      <c r="C48" s="79">
        <f>C47+C16/1000</f>
        <v>0.26400000000000001</v>
      </c>
      <c r="D48" s="80">
        <f>H16</f>
        <v>1550.1515408820601</v>
      </c>
    </row>
    <row r="50" spans="2:2" x14ac:dyDescent="0.35">
      <c r="B50" s="32" t="s">
        <v>110</v>
      </c>
    </row>
  </sheetData>
  <mergeCells count="2">
    <mergeCell ref="B2:H2"/>
    <mergeCell ref="B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24EA-3A7B-449D-8782-571B4500F354}">
  <dimension ref="B2:G30"/>
  <sheetViews>
    <sheetView showGridLines="0" zoomScaleNormal="100" workbookViewId="0"/>
  </sheetViews>
  <sheetFormatPr baseColWidth="10" defaultColWidth="8.6328125" defaultRowHeight="14.5" x14ac:dyDescent="0.35"/>
  <cols>
    <col min="2" max="2" width="26" customWidth="1"/>
    <col min="3" max="7" width="13" customWidth="1"/>
    <col min="8" max="8" width="34" customWidth="1"/>
  </cols>
  <sheetData>
    <row r="2" spans="2:4" ht="17.399999999999999" customHeight="1" x14ac:dyDescent="0.4">
      <c r="B2" s="1" t="s">
        <v>111</v>
      </c>
    </row>
    <row r="3" spans="2:4" ht="15" customHeight="1" x14ac:dyDescent="0.35">
      <c r="B3" s="2" t="s">
        <v>112</v>
      </c>
    </row>
    <row r="5" spans="2:4" ht="15" customHeight="1" x14ac:dyDescent="0.35">
      <c r="B5" s="3" t="s">
        <v>72</v>
      </c>
    </row>
    <row r="6" spans="2:4" ht="15" customHeight="1" x14ac:dyDescent="0.35">
      <c r="B6" s="5" t="s">
        <v>113</v>
      </c>
      <c r="C6" s="12">
        <f>Estacionario!H16</f>
        <v>1550.1515408820601</v>
      </c>
      <c r="D6" s="2" t="s">
        <v>114</v>
      </c>
    </row>
    <row r="7" spans="2:4" ht="15" customHeight="1" x14ac:dyDescent="0.35">
      <c r="B7" s="5" t="s">
        <v>115</v>
      </c>
      <c r="C7" s="6">
        <v>35</v>
      </c>
      <c r="D7" s="2"/>
    </row>
    <row r="8" spans="2:4" ht="15" customHeight="1" x14ac:dyDescent="0.35">
      <c r="B8" s="5" t="s">
        <v>116</v>
      </c>
      <c r="C8" s="24">
        <f>Estacionario!C6</f>
        <v>2.8250000000000002</v>
      </c>
      <c r="D8" s="2"/>
    </row>
    <row r="9" spans="2:4" ht="15" customHeight="1" x14ac:dyDescent="0.35">
      <c r="B9" s="5" t="s">
        <v>74</v>
      </c>
      <c r="C9" s="24">
        <f>Estacionario!C7</f>
        <v>1.26</v>
      </c>
      <c r="D9" s="2"/>
    </row>
    <row r="10" spans="2:4" ht="15" customHeight="1" x14ac:dyDescent="0.35">
      <c r="B10" s="5" t="s">
        <v>117</v>
      </c>
      <c r="C10" s="15">
        <f>C8/(2*C9+C8)</f>
        <v>0.52853133769878391</v>
      </c>
      <c r="D10" s="2" t="s">
        <v>118</v>
      </c>
    </row>
    <row r="11" spans="2:4" ht="15" customHeight="1" x14ac:dyDescent="0.35">
      <c r="B11" s="5" t="s">
        <v>119</v>
      </c>
      <c r="C11" s="21">
        <f>'Propiedades - Capa'!G5</f>
        <v>0</v>
      </c>
      <c r="D11" s="2"/>
    </row>
    <row r="12" spans="2:4" ht="15" customHeight="1" x14ac:dyDescent="0.35">
      <c r="B12" s="5" t="s">
        <v>120</v>
      </c>
      <c r="C12" s="25">
        <f>'Propiedades - Capa'!K5</f>
        <v>1406.1826225142274</v>
      </c>
      <c r="D12" s="2" t="s">
        <v>121</v>
      </c>
    </row>
    <row r="13" spans="2:4" ht="15" customHeight="1" x14ac:dyDescent="0.35">
      <c r="B13" s="5" t="s">
        <v>122</v>
      </c>
      <c r="C13" s="16">
        <f>C11/C12</f>
        <v>0</v>
      </c>
      <c r="D13" s="2"/>
    </row>
    <row r="14" spans="2:4" ht="15" customHeight="1" x14ac:dyDescent="0.35">
      <c r="B14" s="5" t="s">
        <v>123</v>
      </c>
      <c r="C14" s="9">
        <f>C10*0.0000000567*((C6+273.15)+(C7+273.15))*((C6+273.15)^2+(C7+273.15)^2)</f>
        <v>218.41238352289798</v>
      </c>
      <c r="D14" s="2" t="s">
        <v>124</v>
      </c>
    </row>
    <row r="16" spans="2:4" ht="15" customHeight="1" x14ac:dyDescent="0.35">
      <c r="B16" s="3" t="s">
        <v>125</v>
      </c>
    </row>
    <row r="17" spans="2:7" ht="26.9" customHeight="1" x14ac:dyDescent="0.35">
      <c r="B17" s="4" t="s">
        <v>126</v>
      </c>
      <c r="C17" s="4" t="s">
        <v>127</v>
      </c>
      <c r="D17" s="4" t="s">
        <v>128</v>
      </c>
      <c r="E17" s="4" t="s">
        <v>129</v>
      </c>
      <c r="F17" s="4" t="s">
        <v>130</v>
      </c>
      <c r="G17" s="4" t="s">
        <v>131</v>
      </c>
    </row>
    <row r="18" spans="2:7" ht="15" customHeight="1" x14ac:dyDescent="0.35">
      <c r="B18" s="6">
        <v>5</v>
      </c>
      <c r="C18" s="7">
        <f t="shared" ref="C18:C27" si="0">B18*60</f>
        <v>300</v>
      </c>
      <c r="D18" s="10">
        <f t="shared" ref="D18:D27" si="1">SQRT($C$13*C18)</f>
        <v>0</v>
      </c>
      <c r="E18" s="15" t="e">
        <f t="shared" ref="E18:E27" si="2">$C$14*D18/$C$11</f>
        <v>#DIV/0!</v>
      </c>
      <c r="F18" s="15">
        <f t="shared" ref="F18:F27" si="3">IFERROR(EXP(E18^2)*ERFC(E18),0)</f>
        <v>0</v>
      </c>
      <c r="G18" s="13">
        <f t="shared" ref="G18:G27" si="4">$C$7+($C$6-$C$7)*F18</f>
        <v>35</v>
      </c>
    </row>
    <row r="19" spans="2:7" ht="15" customHeight="1" x14ac:dyDescent="0.35">
      <c r="B19" s="6">
        <v>10</v>
      </c>
      <c r="C19" s="7">
        <f t="shared" si="0"/>
        <v>600</v>
      </c>
      <c r="D19" s="10">
        <f t="shared" si="1"/>
        <v>0</v>
      </c>
      <c r="E19" s="15" t="e">
        <f t="shared" si="2"/>
        <v>#DIV/0!</v>
      </c>
      <c r="F19" s="15">
        <f t="shared" si="3"/>
        <v>0</v>
      </c>
      <c r="G19" s="13">
        <f t="shared" si="4"/>
        <v>35</v>
      </c>
    </row>
    <row r="20" spans="2:7" ht="15" customHeight="1" x14ac:dyDescent="0.35">
      <c r="B20" s="6">
        <v>20</v>
      </c>
      <c r="C20" s="7">
        <f t="shared" si="0"/>
        <v>1200</v>
      </c>
      <c r="D20" s="10">
        <f t="shared" si="1"/>
        <v>0</v>
      </c>
      <c r="E20" s="15" t="e">
        <f t="shared" si="2"/>
        <v>#DIV/0!</v>
      </c>
      <c r="F20" s="15">
        <f t="shared" si="3"/>
        <v>0</v>
      </c>
      <c r="G20" s="13">
        <f t="shared" si="4"/>
        <v>35</v>
      </c>
    </row>
    <row r="21" spans="2:7" ht="15" customHeight="1" x14ac:dyDescent="0.35">
      <c r="B21" s="6">
        <v>30</v>
      </c>
      <c r="C21" s="7">
        <f t="shared" si="0"/>
        <v>1800</v>
      </c>
      <c r="D21" s="10">
        <f t="shared" si="1"/>
        <v>0</v>
      </c>
      <c r="E21" s="15" t="e">
        <f t="shared" si="2"/>
        <v>#DIV/0!</v>
      </c>
      <c r="F21" s="15">
        <f t="shared" si="3"/>
        <v>0</v>
      </c>
      <c r="G21" s="13">
        <f t="shared" si="4"/>
        <v>35</v>
      </c>
    </row>
    <row r="22" spans="2:7" ht="15" customHeight="1" x14ac:dyDescent="0.35">
      <c r="B22" s="6">
        <v>45</v>
      </c>
      <c r="C22" s="7">
        <f t="shared" si="0"/>
        <v>2700</v>
      </c>
      <c r="D22" s="10">
        <f t="shared" si="1"/>
        <v>0</v>
      </c>
      <c r="E22" s="15" t="e">
        <f t="shared" si="2"/>
        <v>#DIV/0!</v>
      </c>
      <c r="F22" s="15">
        <f t="shared" si="3"/>
        <v>0</v>
      </c>
      <c r="G22" s="13">
        <f t="shared" si="4"/>
        <v>35</v>
      </c>
    </row>
    <row r="23" spans="2:7" ht="15" customHeight="1" x14ac:dyDescent="0.35">
      <c r="B23" s="6">
        <v>60</v>
      </c>
      <c r="C23" s="7">
        <f t="shared" si="0"/>
        <v>3600</v>
      </c>
      <c r="D23" s="10">
        <f t="shared" si="1"/>
        <v>0</v>
      </c>
      <c r="E23" s="15" t="e">
        <f t="shared" si="2"/>
        <v>#DIV/0!</v>
      </c>
      <c r="F23" s="15">
        <f t="shared" si="3"/>
        <v>0</v>
      </c>
      <c r="G23" s="13">
        <f t="shared" si="4"/>
        <v>35</v>
      </c>
    </row>
    <row r="24" spans="2:7" ht="15" customHeight="1" x14ac:dyDescent="0.35">
      <c r="B24" s="6">
        <v>90</v>
      </c>
      <c r="C24" s="7">
        <f t="shared" si="0"/>
        <v>5400</v>
      </c>
      <c r="D24" s="10">
        <f t="shared" si="1"/>
        <v>0</v>
      </c>
      <c r="E24" s="15" t="e">
        <f t="shared" si="2"/>
        <v>#DIV/0!</v>
      </c>
      <c r="F24" s="15">
        <f t="shared" si="3"/>
        <v>0</v>
      </c>
      <c r="G24" s="13">
        <f t="shared" si="4"/>
        <v>35</v>
      </c>
    </row>
    <row r="25" spans="2:7" ht="15" customHeight="1" x14ac:dyDescent="0.35">
      <c r="B25" s="6">
        <v>120</v>
      </c>
      <c r="C25" s="7">
        <f t="shared" si="0"/>
        <v>7200</v>
      </c>
      <c r="D25" s="10">
        <f t="shared" si="1"/>
        <v>0</v>
      </c>
      <c r="E25" s="15" t="e">
        <f t="shared" si="2"/>
        <v>#DIV/0!</v>
      </c>
      <c r="F25" s="15">
        <f t="shared" si="3"/>
        <v>0</v>
      </c>
      <c r="G25" s="13">
        <f t="shared" si="4"/>
        <v>35</v>
      </c>
    </row>
    <row r="26" spans="2:7" ht="15" customHeight="1" x14ac:dyDescent="0.35">
      <c r="B26" s="6">
        <v>180</v>
      </c>
      <c r="C26" s="7">
        <f t="shared" si="0"/>
        <v>10800</v>
      </c>
      <c r="D26" s="10">
        <f t="shared" si="1"/>
        <v>0</v>
      </c>
      <c r="E26" s="15" t="e">
        <f t="shared" si="2"/>
        <v>#DIV/0!</v>
      </c>
      <c r="F26" s="15">
        <f t="shared" si="3"/>
        <v>0</v>
      </c>
      <c r="G26" s="13">
        <f t="shared" si="4"/>
        <v>35</v>
      </c>
    </row>
    <row r="27" spans="2:7" ht="15" customHeight="1" x14ac:dyDescent="0.35">
      <c r="B27" s="6">
        <v>240</v>
      </c>
      <c r="C27" s="7">
        <f t="shared" si="0"/>
        <v>14400</v>
      </c>
      <c r="D27" s="10">
        <f t="shared" si="1"/>
        <v>0</v>
      </c>
      <c r="E27" s="15" t="e">
        <f t="shared" si="2"/>
        <v>#DIV/0!</v>
      </c>
      <c r="F27" s="15">
        <f t="shared" si="3"/>
        <v>0</v>
      </c>
      <c r="G27" s="13">
        <f t="shared" si="4"/>
        <v>35</v>
      </c>
    </row>
    <row r="29" spans="2:7" ht="15" customHeight="1" x14ac:dyDescent="0.35">
      <c r="B29" s="2" t="s">
        <v>132</v>
      </c>
    </row>
    <row r="30" spans="2:7" ht="15" customHeight="1" x14ac:dyDescent="0.35">
      <c r="B30" s="2" t="s">
        <v>133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5F9B6-9822-4C48-AFEB-70A17A607426}">
  <dimension ref="B2:F25"/>
  <sheetViews>
    <sheetView showGridLines="0" zoomScaleNormal="100" workbookViewId="0"/>
  </sheetViews>
  <sheetFormatPr baseColWidth="10" defaultColWidth="8.6328125" defaultRowHeight="14.5" x14ac:dyDescent="0.35"/>
  <cols>
    <col min="2" max="2" width="10" customWidth="1"/>
    <col min="3" max="4" width="20" customWidth="1"/>
    <col min="5" max="5" width="26" customWidth="1"/>
    <col min="6" max="6" width="60" customWidth="1"/>
  </cols>
  <sheetData>
    <row r="2" spans="2:6" ht="17.399999999999999" customHeight="1" x14ac:dyDescent="0.4">
      <c r="B2" s="1" t="s">
        <v>134</v>
      </c>
    </row>
    <row r="3" spans="2:6" ht="15" customHeight="1" x14ac:dyDescent="0.35">
      <c r="B3" s="2" t="s">
        <v>135</v>
      </c>
    </row>
    <row r="5" spans="2:6" ht="15" customHeight="1" x14ac:dyDescent="0.35">
      <c r="B5" s="4" t="s">
        <v>33</v>
      </c>
      <c r="C5" s="4" t="s">
        <v>136</v>
      </c>
      <c r="D5" s="4" t="s">
        <v>137</v>
      </c>
      <c r="E5" s="4" t="s">
        <v>138</v>
      </c>
      <c r="F5" s="4" t="s">
        <v>9</v>
      </c>
    </row>
    <row r="6" spans="2:6" ht="15" customHeight="1" x14ac:dyDescent="0.35">
      <c r="B6" s="5">
        <v>1</v>
      </c>
      <c r="C6" s="5" t="s">
        <v>139</v>
      </c>
      <c r="D6" s="5" t="s">
        <v>140</v>
      </c>
      <c r="E6" s="5" t="s">
        <v>141</v>
      </c>
      <c r="F6" s="8" t="s">
        <v>142</v>
      </c>
    </row>
    <row r="7" spans="2:6" ht="15" customHeight="1" x14ac:dyDescent="0.35">
      <c r="B7" s="5">
        <v>1</v>
      </c>
      <c r="C7" s="5" t="s">
        <v>143</v>
      </c>
      <c r="D7" s="26" t="s">
        <v>144</v>
      </c>
      <c r="E7" s="5" t="s">
        <v>145</v>
      </c>
      <c r="F7" s="8" t="s">
        <v>146</v>
      </c>
    </row>
    <row r="8" spans="2:6" ht="15" customHeight="1" x14ac:dyDescent="0.35">
      <c r="B8" s="5">
        <v>1</v>
      </c>
      <c r="C8" s="5" t="s">
        <v>147</v>
      </c>
      <c r="D8" s="5" t="s">
        <v>140</v>
      </c>
      <c r="E8" s="5" t="s">
        <v>148</v>
      </c>
      <c r="F8" s="8" t="s">
        <v>149</v>
      </c>
    </row>
    <row r="9" spans="2:6" ht="15" customHeight="1" x14ac:dyDescent="0.35">
      <c r="B9" s="5">
        <v>1</v>
      </c>
      <c r="C9" s="5" t="s">
        <v>150</v>
      </c>
      <c r="D9" s="5" t="s">
        <v>151</v>
      </c>
      <c r="E9" s="5" t="s">
        <v>152</v>
      </c>
      <c r="F9" s="8" t="s">
        <v>153</v>
      </c>
    </row>
    <row r="10" spans="2:6" ht="15" customHeight="1" x14ac:dyDescent="0.35">
      <c r="B10" s="5">
        <v>2</v>
      </c>
      <c r="C10" s="5" t="s">
        <v>139</v>
      </c>
      <c r="D10" s="5" t="s">
        <v>140</v>
      </c>
      <c r="E10" s="5" t="s">
        <v>141</v>
      </c>
      <c r="F10" s="8" t="s">
        <v>154</v>
      </c>
    </row>
    <row r="11" spans="2:6" ht="15" customHeight="1" x14ac:dyDescent="0.35">
      <c r="B11" s="5">
        <v>2</v>
      </c>
      <c r="C11" s="5" t="s">
        <v>143</v>
      </c>
      <c r="D11" s="26" t="s">
        <v>144</v>
      </c>
      <c r="E11" s="5" t="s">
        <v>145</v>
      </c>
      <c r="F11" s="8"/>
    </row>
    <row r="12" spans="2:6" ht="15" customHeight="1" x14ac:dyDescent="0.35">
      <c r="B12" s="5">
        <v>2</v>
      </c>
      <c r="C12" s="5" t="s">
        <v>155</v>
      </c>
      <c r="D12" s="27" t="s">
        <v>156</v>
      </c>
      <c r="E12" s="5" t="s">
        <v>157</v>
      </c>
      <c r="F12" s="8" t="s">
        <v>158</v>
      </c>
    </row>
    <row r="13" spans="2:6" ht="15" customHeight="1" x14ac:dyDescent="0.35">
      <c r="B13" s="5">
        <v>2</v>
      </c>
      <c r="C13" s="5" t="s">
        <v>150</v>
      </c>
      <c r="D13" s="5" t="s">
        <v>140</v>
      </c>
      <c r="E13" s="5" t="s">
        <v>159</v>
      </c>
      <c r="F13" s="8" t="s">
        <v>160</v>
      </c>
    </row>
    <row r="14" spans="2:6" ht="15" customHeight="1" x14ac:dyDescent="0.35">
      <c r="B14" s="5">
        <v>3</v>
      </c>
      <c r="C14" s="5" t="s">
        <v>139</v>
      </c>
      <c r="D14" s="5" t="s">
        <v>140</v>
      </c>
      <c r="E14" s="5" t="s">
        <v>161</v>
      </c>
      <c r="F14" s="8"/>
    </row>
    <row r="15" spans="2:6" ht="15" customHeight="1" x14ac:dyDescent="0.35">
      <c r="B15" s="5">
        <v>3</v>
      </c>
      <c r="C15" s="5" t="s">
        <v>143</v>
      </c>
      <c r="D15" s="26" t="s">
        <v>144</v>
      </c>
      <c r="E15" s="5" t="s">
        <v>145</v>
      </c>
      <c r="F15" s="8" t="s">
        <v>162</v>
      </c>
    </row>
    <row r="16" spans="2:6" ht="15" customHeight="1" x14ac:dyDescent="0.35">
      <c r="B16" s="5">
        <v>3</v>
      </c>
      <c r="C16" s="5" t="s">
        <v>163</v>
      </c>
      <c r="D16" s="5" t="s">
        <v>140</v>
      </c>
      <c r="E16" s="5" t="s">
        <v>164</v>
      </c>
      <c r="F16" s="8"/>
    </row>
    <row r="17" spans="2:6" ht="15" customHeight="1" x14ac:dyDescent="0.35">
      <c r="B17" s="5">
        <v>3</v>
      </c>
      <c r="C17" s="5" t="s">
        <v>150</v>
      </c>
      <c r="D17" s="5" t="s">
        <v>140</v>
      </c>
      <c r="E17" s="5" t="s">
        <v>165</v>
      </c>
      <c r="F17" s="8"/>
    </row>
    <row r="18" spans="2:6" ht="15" customHeight="1" x14ac:dyDescent="0.35">
      <c r="B18" s="5">
        <v>4</v>
      </c>
      <c r="C18" s="5" t="s">
        <v>139</v>
      </c>
      <c r="D18" s="5" t="s">
        <v>140</v>
      </c>
      <c r="E18" s="5" t="s">
        <v>161</v>
      </c>
      <c r="F18" s="8" t="s">
        <v>166</v>
      </c>
    </row>
    <row r="19" spans="2:6" ht="15" customHeight="1" x14ac:dyDescent="0.35">
      <c r="B19" s="5">
        <v>4</v>
      </c>
      <c r="C19" s="5" t="s">
        <v>143</v>
      </c>
      <c r="D19" s="26" t="s">
        <v>144</v>
      </c>
      <c r="E19" s="5" t="s">
        <v>145</v>
      </c>
      <c r="F19" s="8" t="s">
        <v>167</v>
      </c>
    </row>
    <row r="20" spans="2:6" ht="15" customHeight="1" x14ac:dyDescent="0.35">
      <c r="B20" s="5">
        <v>4</v>
      </c>
      <c r="C20" s="5" t="s">
        <v>150</v>
      </c>
      <c r="D20" s="5" t="s">
        <v>168</v>
      </c>
      <c r="E20" s="5" t="s">
        <v>169</v>
      </c>
      <c r="F20" s="8" t="s">
        <v>170</v>
      </c>
    </row>
    <row r="21" spans="2:6" ht="15" customHeight="1" x14ac:dyDescent="0.35">
      <c r="B21" s="5">
        <v>4</v>
      </c>
      <c r="C21" s="5" t="s">
        <v>147</v>
      </c>
      <c r="D21" s="27" t="s">
        <v>156</v>
      </c>
      <c r="E21" s="5" t="s">
        <v>171</v>
      </c>
      <c r="F21" s="8" t="s">
        <v>172</v>
      </c>
    </row>
    <row r="22" spans="2:6" ht="15" customHeight="1" x14ac:dyDescent="0.35">
      <c r="B22" s="5">
        <v>4</v>
      </c>
      <c r="C22" s="5" t="s">
        <v>173</v>
      </c>
      <c r="D22" s="27" t="s">
        <v>174</v>
      </c>
      <c r="E22" s="5" t="s">
        <v>175</v>
      </c>
      <c r="F22" s="8" t="s">
        <v>176</v>
      </c>
    </row>
    <row r="23" spans="2:6" ht="15" customHeight="1" x14ac:dyDescent="0.35">
      <c r="B23" s="5">
        <v>5</v>
      </c>
      <c r="C23" s="5" t="s">
        <v>143</v>
      </c>
      <c r="D23" s="5" t="s">
        <v>168</v>
      </c>
      <c r="E23" s="5" t="s">
        <v>177</v>
      </c>
      <c r="F23" s="8" t="s">
        <v>178</v>
      </c>
    </row>
    <row r="24" spans="2:6" ht="15" customHeight="1" x14ac:dyDescent="0.35">
      <c r="B24" s="5">
        <v>5</v>
      </c>
      <c r="C24" s="5" t="s">
        <v>179</v>
      </c>
      <c r="D24" s="27" t="s">
        <v>174</v>
      </c>
      <c r="E24" s="5" t="s">
        <v>180</v>
      </c>
      <c r="F24" s="8" t="s">
        <v>181</v>
      </c>
    </row>
    <row r="25" spans="2:6" ht="15" customHeight="1" x14ac:dyDescent="0.35">
      <c r="B25" s="5" t="s">
        <v>182</v>
      </c>
      <c r="C25" s="5" t="s">
        <v>183</v>
      </c>
      <c r="D25" s="27" t="s">
        <v>184</v>
      </c>
      <c r="E25" s="5" t="s">
        <v>180</v>
      </c>
      <c r="F25" s="8" t="s">
        <v>185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FD65-2CC1-4B5C-BB79-A1595B447CB8}">
  <dimension ref="B2:I18"/>
  <sheetViews>
    <sheetView showGridLines="0" zoomScaleNormal="100" workbookViewId="0"/>
  </sheetViews>
  <sheetFormatPr baseColWidth="10" defaultColWidth="8.6328125" defaultRowHeight="14.5" x14ac:dyDescent="0.35"/>
  <cols>
    <col min="2" max="2" width="16" customWidth="1"/>
    <col min="3" max="4" width="14" customWidth="1"/>
    <col min="5" max="5" width="16" customWidth="1"/>
    <col min="6" max="6" width="18" customWidth="1"/>
    <col min="7" max="7" width="20" customWidth="1"/>
    <col min="8" max="8" width="16" customWidth="1"/>
    <col min="9" max="9" width="40" customWidth="1"/>
  </cols>
  <sheetData>
    <row r="2" spans="2:9" ht="17.399999999999999" customHeight="1" x14ac:dyDescent="0.4">
      <c r="B2" s="1" t="s">
        <v>186</v>
      </c>
    </row>
    <row r="3" spans="2:9" ht="15" customHeight="1" x14ac:dyDescent="0.35">
      <c r="B3" s="2" t="s">
        <v>187</v>
      </c>
    </row>
    <row r="5" spans="2:9" ht="39.5" customHeight="1" x14ac:dyDescent="0.35">
      <c r="B5" s="4" t="s">
        <v>188</v>
      </c>
      <c r="C5" s="4" t="s">
        <v>189</v>
      </c>
      <c r="D5" s="4" t="s">
        <v>190</v>
      </c>
      <c r="E5" s="4" t="s">
        <v>191</v>
      </c>
      <c r="F5" s="4" t="s">
        <v>192</v>
      </c>
      <c r="G5" s="4" t="s">
        <v>193</v>
      </c>
      <c r="H5" s="4" t="s">
        <v>194</v>
      </c>
      <c r="I5" s="4" t="s">
        <v>51</v>
      </c>
    </row>
    <row r="6" spans="2:9" ht="15" customHeight="1" x14ac:dyDescent="0.35">
      <c r="B6" s="14">
        <v>0.08</v>
      </c>
      <c r="C6" s="18">
        <f>LN(Estacionario!E19/Estacionario!D19)/(2*PI()*B6)</f>
        <v>8.486535675501207E-3</v>
      </c>
      <c r="D6" s="18">
        <f>Estacionario!$C$24-Estacionario!$G$19+C6</f>
        <v>1.362560759716815E-2</v>
      </c>
      <c r="E6" s="7">
        <f>(Estacionario!$C$8-Estacionario!$C$10)/D6</f>
        <v>112068.39688509457</v>
      </c>
      <c r="F6" s="7">
        <f>Estacionario!$C$8-E6*Estacionario!$G$15</f>
        <v>1555.6862869633107</v>
      </c>
      <c r="G6" s="28">
        <f>F6-E6*(Estacionario!$G$16+Estacionario!$G$17+Estacionario!$G$18)</f>
        <v>1166.8033349407647</v>
      </c>
      <c r="H6" s="28">
        <f>G6-E6*(C6+Estacionario!$G$20)</f>
        <v>209.97316311689747</v>
      </c>
      <c r="I6" s="8" t="s">
        <v>195</v>
      </c>
    </row>
    <row r="7" spans="2:9" ht="15" customHeight="1" x14ac:dyDescent="0.35">
      <c r="B7" s="14">
        <v>0.1</v>
      </c>
      <c r="C7" s="18">
        <f>LN(Estacionario!E19/Estacionario!D19)/(2*PI()*B7)</f>
        <v>6.7892285404009657E-3</v>
      </c>
      <c r="D7" s="18">
        <f>Estacionario!$C$24-Estacionario!$G$19+C7</f>
        <v>1.1928300462067908E-2</v>
      </c>
      <c r="E7" s="7">
        <f>(Estacionario!$C$8-Estacionario!$C$10)/D7</f>
        <v>128014.88400261817</v>
      </c>
      <c r="F7" s="7">
        <f>Estacionario!$C$8-E7*Estacionario!$G$15</f>
        <v>1554.787893246601</v>
      </c>
      <c r="G7" s="28">
        <f>F7-E7*(Estacionario!$G$16+Estacionario!$G$17+Estacionario!$G$18)</f>
        <v>1110.5698319781327</v>
      </c>
      <c r="H7" s="28">
        <f>G7-E7*(C7+Estacionario!$G$20)</f>
        <v>234.87052373870415</v>
      </c>
      <c r="I7" s="8" t="s">
        <v>196</v>
      </c>
    </row>
    <row r="8" spans="2:9" ht="15" customHeight="1" x14ac:dyDescent="0.35">
      <c r="B8" s="14">
        <v>0.12</v>
      </c>
      <c r="C8" s="18">
        <f>LN(Estacionario!E19/Estacionario!D19)/(2*PI()*B8)</f>
        <v>5.6576904503341388E-3</v>
      </c>
      <c r="D8" s="18">
        <f>Estacionario!$C$24-Estacionario!$G$19+C8</f>
        <v>1.0796762372001081E-2</v>
      </c>
      <c r="E8" s="7">
        <f>(Estacionario!$C$8-Estacionario!$C$10)/D8</f>
        <v>141431.28721253728</v>
      </c>
      <c r="F8" s="7">
        <f>Estacionario!$C$8-E8*Estacionario!$G$15</f>
        <v>1554.0320394804514</v>
      </c>
      <c r="G8" s="28">
        <f>F8-E8*(Estacionario!$G$16+Estacionario!$G$17+Estacionario!$G$18)</f>
        <v>1063.2583868872709</v>
      </c>
      <c r="H8" s="28">
        <f>G8-E8*(C8+Estacionario!$G$20)</f>
        <v>255.81764685761652</v>
      </c>
      <c r="I8" s="8"/>
    </row>
    <row r="9" spans="2:9" ht="15" customHeight="1" x14ac:dyDescent="0.35">
      <c r="B9" s="29">
        <v>0.1467</v>
      </c>
      <c r="C9" s="18">
        <f>LN(Estacionario!E19/Estacionario!D19)/(2*PI()*B9)</f>
        <v>4.6279676485350826E-3</v>
      </c>
      <c r="D9" s="18">
        <f>Estacionario!$C$24-Estacionario!$G$19+C9</f>
        <v>9.7670395702020244E-3</v>
      </c>
      <c r="E9" s="7">
        <f>(Estacionario!$C$8-Estacionario!$C$10)/D9</f>
        <v>156342.15352814581</v>
      </c>
      <c r="F9" s="7">
        <f>Estacionario!$C$8-E9*Estacionario!$G$15</f>
        <v>1553.1919906026067</v>
      </c>
      <c r="G9" s="13">
        <f>F9-E9*(Estacionario!$G$16+Estacionario!$G$17+Estacionario!$G$18)</f>
        <v>1010.676884832642</v>
      </c>
      <c r="H9" s="13">
        <f>G9-E9*(C9+Estacionario!$G$20)</f>
        <v>279.09808555908455</v>
      </c>
      <c r="I9" s="8" t="s">
        <v>197</v>
      </c>
    </row>
    <row r="10" spans="2:9" ht="15" customHeight="1" x14ac:dyDescent="0.35">
      <c r="B10" s="14">
        <v>0.16</v>
      </c>
      <c r="C10" s="18">
        <f>LN(Estacionario!E19/Estacionario!D19)/(2*PI()*B10)</f>
        <v>4.2432678377506035E-3</v>
      </c>
      <c r="D10" s="18">
        <f>Estacionario!$C$24-Estacionario!$G$19+C10</f>
        <v>9.3823397594175462E-3</v>
      </c>
      <c r="E10" s="7">
        <f>(Estacionario!$C$8-Estacionario!$C$10)/D10</f>
        <v>162752.5797568</v>
      </c>
      <c r="F10" s="7">
        <f>Estacionario!$C$8-E10*Estacionario!$G$15</f>
        <v>1552.8308397984947</v>
      </c>
      <c r="G10" s="28">
        <f>F10-E10*(Estacionario!$G$16+Estacionario!$G$17+Estacionario!$G$18)</f>
        <v>988.07123384104352</v>
      </c>
      <c r="H10" s="28">
        <f>G10-E10*(C10+Estacionario!$G$20)</f>
        <v>289.10672836411391</v>
      </c>
      <c r="I10" s="8"/>
    </row>
    <row r="11" spans="2:9" ht="15" customHeight="1" x14ac:dyDescent="0.35">
      <c r="B11" s="14">
        <v>0.19</v>
      </c>
      <c r="C11" s="18">
        <f>LN(Estacionario!E19/Estacionario!D19)/(2*PI()*B11)</f>
        <v>3.5732781791584034E-3</v>
      </c>
      <c r="D11" s="18">
        <f>Estacionario!$C$24-Estacionario!$G$19+C11</f>
        <v>8.7123501008253453E-3</v>
      </c>
      <c r="E11" s="7">
        <f>(Estacionario!$C$8-Estacionario!$C$10)/D11</f>
        <v>175268.43874827103</v>
      </c>
      <c r="F11" s="7">
        <f>Estacionario!$C$8-E11*Estacionario!$G$15</f>
        <v>1552.1257209221994</v>
      </c>
      <c r="G11" s="28">
        <f>F11-E11*(Estacionario!$G$16+Estacionario!$G$17+Estacionario!$G$18)</f>
        <v>943.93545719696033</v>
      </c>
      <c r="H11" s="28">
        <f>G11-E11*(C11+Estacionario!$G$20)</f>
        <v>308.6478255666384</v>
      </c>
      <c r="I11" s="8" t="s">
        <v>198</v>
      </c>
    </row>
    <row r="12" spans="2:9" ht="15" customHeight="1" x14ac:dyDescent="0.35">
      <c r="B12" s="14">
        <v>0.22</v>
      </c>
      <c r="C12" s="18">
        <f>LN(Estacionario!E19/Estacionario!D19)/(2*PI()*B12)</f>
        <v>3.0860129729095302E-3</v>
      </c>
      <c r="D12" s="18">
        <f>Estacionario!$C$24-Estacionario!$G$19+C12</f>
        <v>8.2250848945764725E-3</v>
      </c>
      <c r="E12" s="7">
        <f>(Estacionario!$C$8-Estacionario!$C$10)/D12</f>
        <v>185651.57923256044</v>
      </c>
      <c r="F12" s="7">
        <f>Estacionario!$C$8-E12*Estacionario!$G$15</f>
        <v>1551.5407552114411</v>
      </c>
      <c r="G12" s="28">
        <f>F12-E12*(Estacionario!$G$16+Estacionario!$G$17+Estacionario!$G$18)</f>
        <v>907.32047379142477</v>
      </c>
      <c r="H12" s="28">
        <f>G12-E12*(C12+Estacionario!$G$20)</f>
        <v>324.8590946141112</v>
      </c>
      <c r="I12" s="8"/>
    </row>
    <row r="13" spans="2:9" ht="15" customHeight="1" x14ac:dyDescent="0.35">
      <c r="B13" s="14">
        <v>0.25</v>
      </c>
      <c r="C13" s="18">
        <f>LN(Estacionario!E19/Estacionario!D19)/(2*PI()*B13)</f>
        <v>2.7156914161603862E-3</v>
      </c>
      <c r="D13" s="18">
        <f>Estacionario!$C$24-Estacionario!$G$19+C13</f>
        <v>7.8547633378273276E-3</v>
      </c>
      <c r="E13" s="7">
        <f>(Estacionario!$C$8-Estacionario!$C$10)/D13</f>
        <v>194404.32949089678</v>
      </c>
      <c r="F13" s="7">
        <f>Estacionario!$C$8-E13*Estacionario!$G$15</f>
        <v>1551.0476424789588</v>
      </c>
      <c r="G13" s="28">
        <f>F13-E13*(Estacionario!$G$16+Estacionario!$G$17+Estacionario!$G$18)</f>
        <v>876.45487913374893</v>
      </c>
      <c r="H13" s="28">
        <f>G13-E13*(C13+Estacionario!$G$20)</f>
        <v>338.52482412609493</v>
      </c>
      <c r="I13" s="8" t="s">
        <v>199</v>
      </c>
    </row>
    <row r="15" spans="2:9" ht="15" customHeight="1" x14ac:dyDescent="0.35">
      <c r="B15" s="3" t="s">
        <v>200</v>
      </c>
    </row>
    <row r="16" spans="2:9" ht="15" customHeight="1" x14ac:dyDescent="0.35">
      <c r="B16" s="2" t="s">
        <v>201</v>
      </c>
    </row>
    <row r="17" spans="2:2" ht="15" customHeight="1" x14ac:dyDescent="0.35">
      <c r="B17" s="2" t="s">
        <v>202</v>
      </c>
    </row>
    <row r="18" spans="2:2" ht="15" customHeight="1" x14ac:dyDescent="0.35">
      <c r="B18" s="2" t="s">
        <v>203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Constituyentes</vt:lpstr>
      <vt:lpstr>CQ's</vt:lpstr>
      <vt:lpstr>Cp - Constituyentes</vt:lpstr>
      <vt:lpstr>Propiedades - Capa</vt:lpstr>
      <vt:lpstr>Cp - Capas</vt:lpstr>
      <vt:lpstr>Estacionario</vt:lpstr>
      <vt:lpstr>07_Enfriamiento</vt:lpstr>
      <vt:lpstr>08_Fuentes</vt:lpstr>
      <vt:lpstr>09_Sensibilidad_aislante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ADÁN MOLINA MARTÍNEZ</cp:lastModifiedBy>
  <cp:revision>0</cp:revision>
  <dcterms:created xsi:type="dcterms:W3CDTF">2026-08-19T16:45:31Z</dcterms:created>
  <dcterms:modified xsi:type="dcterms:W3CDTF">2026-08-25T15:16:07Z</dcterms:modified>
  <dc:language>en-US</dc:language>
</cp:coreProperties>
</file>